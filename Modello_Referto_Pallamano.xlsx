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6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7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8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9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0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1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2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3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4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5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6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7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18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19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0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onoman\Desktop\Pallamano referto gara\"/>
    </mc:Choice>
  </mc:AlternateContent>
  <xr:revisionPtr revIDLastSave="0" documentId="13_ncr:1_{B7499A5A-54B4-423D-A702-00F0054CCA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ra" sheetId="12" r:id="rId1"/>
    <sheet name="Squadre" sheetId="2" r:id="rId2"/>
    <sheet name="1" sheetId="3" r:id="rId3"/>
    <sheet name="2" sheetId="13" r:id="rId4"/>
    <sheet name="3" sheetId="14" r:id="rId5"/>
    <sheet name="4" sheetId="15" r:id="rId6"/>
    <sheet name="5" sheetId="16" r:id="rId7"/>
    <sheet name="6" sheetId="17" r:id="rId8"/>
    <sheet name="7" sheetId="18" r:id="rId9"/>
    <sheet name="8" sheetId="19" r:id="rId10"/>
    <sheet name="9" sheetId="20" r:id="rId11"/>
    <sheet name="10" sheetId="21" r:id="rId12"/>
    <sheet name="11" sheetId="22" r:id="rId13"/>
    <sheet name="12" sheetId="23" r:id="rId14"/>
    <sheet name="13" sheetId="24" r:id="rId15"/>
    <sheet name="14" sheetId="25" r:id="rId16"/>
    <sheet name="15" sheetId="26" r:id="rId17"/>
    <sheet name="16" sheetId="27" r:id="rId18"/>
    <sheet name="17" sheetId="28" r:id="rId19"/>
    <sheet name="18" sheetId="29" r:id="rId20"/>
    <sheet name="19" sheetId="30" r:id="rId21"/>
    <sheet name="20" sheetId="31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3" l="1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5" i="22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5" i="21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5" i="20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5" i="13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19" i="18"/>
  <c r="K20" i="18"/>
  <c r="K21" i="18"/>
  <c r="K22" i="18"/>
  <c r="K23" i="18"/>
  <c r="K24" i="18"/>
  <c r="K2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5" i="18"/>
  <c r="K2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4" i="17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5" i="16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5" i="14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5" i="15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5" i="3"/>
</calcChain>
</file>

<file path=xl/sharedStrings.xml><?xml version="1.0" encoding="utf-8"?>
<sst xmlns="http://schemas.openxmlformats.org/spreadsheetml/2006/main" count="1713" uniqueCount="844">
  <si>
    <t>Nome</t>
  </si>
  <si>
    <t>B</t>
  </si>
  <si>
    <t>C</t>
  </si>
  <si>
    <t>E</t>
  </si>
  <si>
    <t>N°</t>
  </si>
  <si>
    <t>Centrale</t>
  </si>
  <si>
    <t>Portiere</t>
  </si>
  <si>
    <t>Frédéric Bougeant</t>
  </si>
  <si>
    <t>Bruno Tronelli</t>
  </si>
  <si>
    <t>Narkis Arrondo</t>
  </si>
  <si>
    <t>Chana Masson</t>
  </si>
  <si>
    <t>Patricio Ansaldi</t>
  </si>
  <si>
    <t>BERNABEI Nicole Elisa</t>
  </si>
  <si>
    <t>BARBOSA Alexandrina Cabral</t>
  </si>
  <si>
    <t>COZZI Melina Ximena</t>
  </si>
  <si>
    <t>DALLE CRODE Lucia</t>
  </si>
  <si>
    <t>DE MARINIS Maira</t>
  </si>
  <si>
    <t>DI PRISCO Francesca</t>
  </si>
  <si>
    <t>DO NASCIMENTO MARTINEZ Alexandra</t>
  </si>
  <si>
    <t>FANTON Irene</t>
  </si>
  <si>
    <t>AC LIFE STYLE HANDBALL ERICE</t>
  </si>
  <si>
    <t>JOMI SALERNO</t>
  </si>
  <si>
    <t>A</t>
  </si>
  <si>
    <t>D</t>
  </si>
  <si>
    <t>Francesco Fierro</t>
  </si>
  <si>
    <t>Michele Veronese</t>
  </si>
  <si>
    <t>Andrea Miseri</t>
  </si>
  <si>
    <t>LOSIO Martina</t>
  </si>
  <si>
    <t>TAMAIO Valentina</t>
  </si>
  <si>
    <t>MASSA Federica</t>
  </si>
  <si>
    <t>RUSSO Chiara</t>
  </si>
  <si>
    <t>BRIXEN SÜDTIROL</t>
  </si>
  <si>
    <t>UNTERWEGER Marie</t>
  </si>
  <si>
    <t>AICHNER Marie</t>
  </si>
  <si>
    <t>DIBONA Giulia</t>
  </si>
  <si>
    <t>LUCARINI Giovanna</t>
  </si>
  <si>
    <t>HILBER Sarah</t>
  </si>
  <si>
    <t>HABICHER Mara</t>
  </si>
  <si>
    <t>RUHL Hannah</t>
  </si>
  <si>
    <t>MATAVŠ Nika</t>
  </si>
  <si>
    <t>NOTHDURFTER Barbara</t>
  </si>
  <si>
    <t>VEGNI Violetta</t>
  </si>
  <si>
    <t>FADEL Amelie</t>
  </si>
  <si>
    <t>HABICHER Nelly</t>
  </si>
  <si>
    <t>MITTERRUTZNER Nina</t>
  </si>
  <si>
    <t>OBERRAUCH Marie</t>
  </si>
  <si>
    <t>BABBO Giada</t>
  </si>
  <si>
    <t>LUCHIN Francesca</t>
  </si>
  <si>
    <t>Hubi Nössing</t>
  </si>
  <si>
    <t>Andrea Eder</t>
  </si>
  <si>
    <t>Monika Prünster</t>
  </si>
  <si>
    <t>Colonna1</t>
  </si>
  <si>
    <t>TARBUCH MARIANELA PILAR</t>
  </si>
  <si>
    <t>MANOJLOVIC RAMONA VESNA</t>
  </si>
  <si>
    <t>IACOVELLO MARTINA</t>
  </si>
  <si>
    <t>PESSOA CONSTANTINO GABRIELA</t>
  </si>
  <si>
    <t>HANDBALL ERICE</t>
  </si>
  <si>
    <t>PLAYER_A</t>
  </si>
  <si>
    <t>OFFICIAL_A</t>
  </si>
  <si>
    <t>PLAYER_B</t>
  </si>
  <si>
    <t>OFFICIAL_B</t>
  </si>
  <si>
    <t>DELEGATO2</t>
  </si>
  <si>
    <t>OFFICIALS</t>
  </si>
  <si>
    <t>DELEGATO1</t>
  </si>
  <si>
    <t>ARBITRO2</t>
  </si>
  <si>
    <t>ARBITRO1</t>
  </si>
  <si>
    <t>2026/2027</t>
  </si>
  <si>
    <t>STAGIONE</t>
  </si>
  <si>
    <t>MATCH</t>
  </si>
  <si>
    <t>PALACARDELLA</t>
  </si>
  <si>
    <t>IMPIANTO</t>
  </si>
  <si>
    <t>ERICE</t>
  </si>
  <si>
    <t>LOCALITA</t>
  </si>
  <si>
    <t>SERIE A1 FEMMINILE</t>
  </si>
  <si>
    <t>CAMPIONATO</t>
  </si>
  <si>
    <t>ORA</t>
  </si>
  <si>
    <t>TEAM_B</t>
  </si>
  <si>
    <t>TEAM_A</t>
  </si>
  <si>
    <t>DATA</t>
  </si>
  <si>
    <t>Dati da Caricare</t>
  </si>
  <si>
    <t>NUMERO</t>
  </si>
  <si>
    <t>Squadre</t>
  </si>
  <si>
    <t>Dati Gara</t>
  </si>
  <si>
    <t>Foglio di Configurazione Gara di Pallamano</t>
  </si>
  <si>
    <t>TOPOLINO</t>
  </si>
  <si>
    <t>PAPERINO</t>
  </si>
  <si>
    <t xml:space="preserve">DIABOLIK </t>
  </si>
  <si>
    <t>AC Life Style Erice</t>
  </si>
  <si>
    <t>Alì-Best Espresso Mestrino</t>
  </si>
  <si>
    <t>Brixen Südtirol</t>
  </si>
  <si>
    <t>Casalgrande Padana</t>
  </si>
  <si>
    <t>Cassano Magnago</t>
  </si>
  <si>
    <t>Cellini Padova</t>
  </si>
  <si>
    <t>Conversano</t>
  </si>
  <si>
    <t>HAC Germancar Nuoro</t>
  </si>
  <si>
    <t>Jomi Salerno</t>
  </si>
  <si>
    <t>Leno</t>
  </si>
  <si>
    <t>Mezzocorona</t>
  </si>
  <si>
    <t>Securfox Ariosto Ferrara</t>
  </si>
  <si>
    <t>Sirio Toyota Teramo</t>
  </si>
  <si>
    <t>Trapani</t>
  </si>
  <si>
    <t>Nicole Elisa</t>
  </si>
  <si>
    <t>Bernabei</t>
  </si>
  <si>
    <t>ITA</t>
  </si>
  <si>
    <t>Alexandrina</t>
  </si>
  <si>
    <t>Cabral Barbosa</t>
  </si>
  <si>
    <t>ESP</t>
  </si>
  <si>
    <t>Melina Ximena</t>
  </si>
  <si>
    <t>Cozzi</t>
  </si>
  <si>
    <t>Ala sx</t>
  </si>
  <si>
    <t>Lucia</t>
  </si>
  <si>
    <t>Dalle Crode</t>
  </si>
  <si>
    <t>Maira</t>
  </si>
  <si>
    <t>De Marinis</t>
  </si>
  <si>
    <t>Francesca</t>
  </si>
  <si>
    <t>Di Prisco</t>
  </si>
  <si>
    <t>Alexandra Priscila</t>
  </si>
  <si>
    <t>Do Nascimento Martinez</t>
  </si>
  <si>
    <t>BRA</t>
  </si>
  <si>
    <t>Ala dx</t>
  </si>
  <si>
    <t>Irene</t>
  </si>
  <si>
    <t>Fanton</t>
  </si>
  <si>
    <t>Macarena</t>
  </si>
  <si>
    <t>Gandulfo</t>
  </si>
  <si>
    <t>Terzino sx</t>
  </si>
  <si>
    <t>Martina</t>
  </si>
  <si>
    <t>Iacovello</t>
  </si>
  <si>
    <t>Giulia Teresa</t>
  </si>
  <si>
    <t>Losio</t>
  </si>
  <si>
    <t>Ramona Vesna</t>
  </si>
  <si>
    <t>Manojlovic</t>
  </si>
  <si>
    <t>Terzino sx/dx</t>
  </si>
  <si>
    <t>Valentina</t>
  </si>
  <si>
    <t>Martinez Bizzotto</t>
  </si>
  <si>
    <t>Pivot</t>
  </si>
  <si>
    <t>Silje</t>
  </si>
  <si>
    <t>Nilsen</t>
  </si>
  <si>
    <t>NOR</t>
  </si>
  <si>
    <t>Terzino dx</t>
  </si>
  <si>
    <t>Gabriela</t>
  </si>
  <si>
    <t>Pessoa Constantino</t>
  </si>
  <si>
    <t>Chiara</t>
  </si>
  <si>
    <t>Priolo</t>
  </si>
  <si>
    <t>Sara</t>
  </si>
  <si>
    <t>Sablic</t>
  </si>
  <si>
    <t>CRO</t>
  </si>
  <si>
    <t>Alexandra Ramona</t>
  </si>
  <si>
    <t>Severin</t>
  </si>
  <si>
    <t>ROU</t>
  </si>
  <si>
    <t>Marianela Pilar</t>
  </si>
  <si>
    <t>Tarbuch</t>
  </si>
  <si>
    <t>Maryia</t>
  </si>
  <si>
    <t>Trayan</t>
  </si>
  <si>
    <t>BLR</t>
  </si>
  <si>
    <t>Alessia</t>
  </si>
  <si>
    <t>Zizzo</t>
  </si>
  <si>
    <t>Ivana</t>
  </si>
  <si>
    <t>Kapitanovic</t>
  </si>
  <si>
    <t>Orlane</t>
  </si>
  <si>
    <t>Ahanda</t>
  </si>
  <si>
    <t>FRA</t>
  </si>
  <si>
    <t>Kalidiatou</t>
  </si>
  <si>
    <t>Niakate</t>
  </si>
  <si>
    <t>NOME E COGNOME</t>
  </si>
  <si>
    <t>FUNZIONE</t>
  </si>
  <si>
    <t>Frédéric</t>
  </si>
  <si>
    <t>Bougeant</t>
  </si>
  <si>
    <t>Allenatore</t>
  </si>
  <si>
    <t>Bernabei Nicole Elisa</t>
  </si>
  <si>
    <t>Cabral Barbosa Alexandrina</t>
  </si>
  <si>
    <t>Cozzi Melina Ximena</t>
  </si>
  <si>
    <t>Dalle Crode Lucia</t>
  </si>
  <si>
    <t>De Marinis Maira</t>
  </si>
  <si>
    <t>Di Prisco Francesca</t>
  </si>
  <si>
    <t>Do Nascimento Martinez Alexandra Priscila</t>
  </si>
  <si>
    <t>Fanton Irene</t>
  </si>
  <si>
    <t>Gandulfo Macarena</t>
  </si>
  <si>
    <t>Iacovello Martina</t>
  </si>
  <si>
    <t>Losio Giulia Teresa</t>
  </si>
  <si>
    <t>Manojlovic Ramona Vesna</t>
  </si>
  <si>
    <t>Martinez Bizzotto Valentina</t>
  </si>
  <si>
    <t>Nilsen Silje</t>
  </si>
  <si>
    <t>Pessoa Constantino Gabriela</t>
  </si>
  <si>
    <t>Priolo Chiara</t>
  </si>
  <si>
    <t>Sablic Sara</t>
  </si>
  <si>
    <t>Severin Alexandra Ramona</t>
  </si>
  <si>
    <t>Tarbuch Marianela Pilar</t>
  </si>
  <si>
    <t>Trayan Maryia</t>
  </si>
  <si>
    <t>Zizzo Alessia</t>
  </si>
  <si>
    <t>Kapitanovic Ivana</t>
  </si>
  <si>
    <t>Ahanda Orlane</t>
  </si>
  <si>
    <t>Niakate Kalidiatou</t>
  </si>
  <si>
    <t>Bougeant Frédéric</t>
  </si>
  <si>
    <t>Giulia</t>
  </si>
  <si>
    <t>Anziliero</t>
  </si>
  <si>
    <t>Julia Chiara</t>
  </si>
  <si>
    <t>Balzer</t>
  </si>
  <si>
    <t>GER</t>
  </si>
  <si>
    <t>Erika</t>
  </si>
  <si>
    <t>Bernardi</t>
  </si>
  <si>
    <t>Ala dx/sx</t>
  </si>
  <si>
    <t>Bisello</t>
  </si>
  <si>
    <t>Arianna</t>
  </si>
  <si>
    <t>Brunetti</t>
  </si>
  <si>
    <t>Ana Maria</t>
  </si>
  <si>
    <t>Bucur</t>
  </si>
  <si>
    <t>Marianna</t>
  </si>
  <si>
    <t>Cabrini</t>
  </si>
  <si>
    <t>Terzino</t>
  </si>
  <si>
    <t>Elisa</t>
  </si>
  <si>
    <t>Campagnaro</t>
  </si>
  <si>
    <t>Giorgia</t>
  </si>
  <si>
    <t>Chiarotto</t>
  </si>
  <si>
    <t>Gloria</t>
  </si>
  <si>
    <t>Rachele</t>
  </si>
  <si>
    <t>Di Fede</t>
  </si>
  <si>
    <t>Fiorasi</t>
  </si>
  <si>
    <t>Anna</t>
  </si>
  <si>
    <t>Galvan</t>
  </si>
  <si>
    <t>Agustina</t>
  </si>
  <si>
    <t>Mamet</t>
  </si>
  <si>
    <t>ARG/GER</t>
  </si>
  <si>
    <t>Terzino/centrale</t>
  </si>
  <si>
    <t>Angela</t>
  </si>
  <si>
    <t>Mazzariol</t>
  </si>
  <si>
    <t>Şevval</t>
  </si>
  <si>
    <t>Özsöz</t>
  </si>
  <si>
    <t>TUR</t>
  </si>
  <si>
    <t>Terzino dx/sx</t>
  </si>
  <si>
    <t>Daniela Sofia</t>
  </si>
  <si>
    <t>Pinto Pereira</t>
  </si>
  <si>
    <t>POR</t>
  </si>
  <si>
    <t>Carlotta</t>
  </si>
  <si>
    <t>Pugliese</t>
  </si>
  <si>
    <t>Anita</t>
  </si>
  <si>
    <t>Rubin</t>
  </si>
  <si>
    <t>Sabbion</t>
  </si>
  <si>
    <t>Ala sx/dx</t>
  </si>
  <si>
    <t>Lucila</t>
  </si>
  <si>
    <t>Stettler</t>
  </si>
  <si>
    <t>ITA/ARG</t>
  </si>
  <si>
    <t>Giuseppe</t>
  </si>
  <si>
    <t>Lucarini</t>
  </si>
  <si>
    <t>Anziliero Giulia</t>
  </si>
  <si>
    <t>Balzer Julia Chiara</t>
  </si>
  <si>
    <t>Bernardi Erika</t>
  </si>
  <si>
    <t>Bisello Giulia</t>
  </si>
  <si>
    <t>Brunetti Arianna</t>
  </si>
  <si>
    <t>Bucur Ana Maria</t>
  </si>
  <si>
    <t>Cabrini Marianna</t>
  </si>
  <si>
    <t>Campagnaro Elisa</t>
  </si>
  <si>
    <t>Chiarotto Giorgia</t>
  </si>
  <si>
    <t>Chiarotto Gloria</t>
  </si>
  <si>
    <t>Di Fede Rachele</t>
  </si>
  <si>
    <t>Fiorasi Arianna</t>
  </si>
  <si>
    <t>Galvan Anna</t>
  </si>
  <si>
    <t>Mamet Agustina</t>
  </si>
  <si>
    <t>Mazzariol Angela</t>
  </si>
  <si>
    <t>Özsöz Şevval</t>
  </si>
  <si>
    <t>Pinto Pereira Daniela Sofia</t>
  </si>
  <si>
    <t>Pugliese Carlotta</t>
  </si>
  <si>
    <t>Rubin Anita</t>
  </si>
  <si>
    <t>Sabbion Giorgia</t>
  </si>
  <si>
    <t>Stettler Lucila</t>
  </si>
  <si>
    <t>Lucarini Giuseppe</t>
  </si>
  <si>
    <t>Marie</t>
  </si>
  <si>
    <t>Aichner</t>
  </si>
  <si>
    <t>Giada</t>
  </si>
  <si>
    <t>Babbo</t>
  </si>
  <si>
    <t>Dibona</t>
  </si>
  <si>
    <t>Amelie</t>
  </si>
  <si>
    <t>Fadel</t>
  </si>
  <si>
    <t>Carolin</t>
  </si>
  <si>
    <t>Gamper</t>
  </si>
  <si>
    <t>Mara</t>
  </si>
  <si>
    <t>Habicher</t>
  </si>
  <si>
    <t>Nelly</t>
  </si>
  <si>
    <t>Sarah</t>
  </si>
  <si>
    <t>Hilber</t>
  </si>
  <si>
    <t>Sophia</t>
  </si>
  <si>
    <t>Kiesenhofer</t>
  </si>
  <si>
    <t>Giovanna</t>
  </si>
  <si>
    <t>Centrale/Terzino</t>
  </si>
  <si>
    <t>Luchin</t>
  </si>
  <si>
    <t>Nika</t>
  </si>
  <si>
    <t>Matavš</t>
  </si>
  <si>
    <t>SLO</t>
  </si>
  <si>
    <t>Nina</t>
  </si>
  <si>
    <t>Mitterrutzner</t>
  </si>
  <si>
    <t>Barbara</t>
  </si>
  <si>
    <t>Nothdurfter</t>
  </si>
  <si>
    <t>Ala dx/Terzino dx</t>
  </si>
  <si>
    <t>Oberrauch</t>
  </si>
  <si>
    <t>Hannah</t>
  </si>
  <si>
    <t>Ruhl</t>
  </si>
  <si>
    <t>Sozio</t>
  </si>
  <si>
    <t>Sonja</t>
  </si>
  <si>
    <t>Springeth</t>
  </si>
  <si>
    <t>Unterweger</t>
  </si>
  <si>
    <t>Violetta</t>
  </si>
  <si>
    <t>Vegni</t>
  </si>
  <si>
    <t>Hubi</t>
  </si>
  <si>
    <t>Nössing</t>
  </si>
  <si>
    <t>Andrea</t>
  </si>
  <si>
    <t>Eder</t>
  </si>
  <si>
    <t>Vice-allenatrice</t>
  </si>
  <si>
    <t>Monika</t>
  </si>
  <si>
    <t>Prünster</t>
  </si>
  <si>
    <t>Allenatrice Portieri</t>
  </si>
  <si>
    <t>Aichner Marie</t>
  </si>
  <si>
    <t>Babbo Giada</t>
  </si>
  <si>
    <t>Dibona Giulia</t>
  </si>
  <si>
    <t>Fadel Amelie</t>
  </si>
  <si>
    <t>Gamper Carolin</t>
  </si>
  <si>
    <t>Habicher Mara</t>
  </si>
  <si>
    <t>Habicher Nelly</t>
  </si>
  <si>
    <t>Hilber Sarah</t>
  </si>
  <si>
    <t>Kiesenhofer Sophia</t>
  </si>
  <si>
    <t>Lucarini Giovanna</t>
  </si>
  <si>
    <t>Luchin Francesca</t>
  </si>
  <si>
    <t>Matavš Nika</t>
  </si>
  <si>
    <t>Mitterrutzner Nina</t>
  </si>
  <si>
    <t>Nothdurfter Barbara</t>
  </si>
  <si>
    <t>Oberrauch Marie</t>
  </si>
  <si>
    <t>Ruhl Hannah</t>
  </si>
  <si>
    <t>Sozio Elisa</t>
  </si>
  <si>
    <t>Springeth Sonja</t>
  </si>
  <si>
    <t>Unterweger Marie</t>
  </si>
  <si>
    <t>Vegni Violetta</t>
  </si>
  <si>
    <t>Nössing Hubi</t>
  </si>
  <si>
    <t>Eder Andrea</t>
  </si>
  <si>
    <t>Prünster Monika</t>
  </si>
  <si>
    <t>Artoni</t>
  </si>
  <si>
    <t>Simona</t>
  </si>
  <si>
    <t>Emma</t>
  </si>
  <si>
    <t>Baroni</t>
  </si>
  <si>
    <t>Sofia</t>
  </si>
  <si>
    <t>ITA </t>
  </si>
  <si>
    <t>Bonacini</t>
  </si>
  <si>
    <t>Cosentino</t>
  </si>
  <si>
    <t>Ala dx/Pivot</t>
  </si>
  <si>
    <t>Ferrari</t>
  </si>
  <si>
    <t>Laura</t>
  </si>
  <si>
    <t>Franco</t>
  </si>
  <si>
    <t>Camilla</t>
  </si>
  <si>
    <t>Galletti</t>
  </si>
  <si>
    <t>Matilde</t>
  </si>
  <si>
    <t>Giovannini</t>
  </si>
  <si>
    <t>Viola</t>
  </si>
  <si>
    <t>Giubbini</t>
  </si>
  <si>
    <t>Charity</t>
  </si>
  <si>
    <t>Iyamu</t>
  </si>
  <si>
    <t>Malak</t>
  </si>
  <si>
    <t>Lassouli</t>
  </si>
  <si>
    <t>Gaia</t>
  </si>
  <si>
    <t>Lusetti</t>
  </si>
  <si>
    <t>Niccolai Apostol</t>
  </si>
  <si>
    <t>Orlandi</t>
  </si>
  <si>
    <t>Rondoni</t>
  </si>
  <si>
    <t>Ala/Terzino</t>
  </si>
  <si>
    <t>Margherita</t>
  </si>
  <si>
    <t>Rossi</t>
  </si>
  <si>
    <t>Stefanelli</t>
  </si>
  <si>
    <t>Greta</t>
  </si>
  <si>
    <t>Trevisi</t>
  </si>
  <si>
    <t>Elena</t>
  </si>
  <si>
    <t>Barani</t>
  </si>
  <si>
    <t>Allenatrice</t>
  </si>
  <si>
    <t>Artoni Alessia</t>
  </si>
  <si>
    <t>Artoni Simona</t>
  </si>
  <si>
    <t>Baroni Emma</t>
  </si>
  <si>
    <t>Baroni Sofia</t>
  </si>
  <si>
    <t>Bonacini Valentina</t>
  </si>
  <si>
    <t>Cosentino Giulia</t>
  </si>
  <si>
    <t>Ferrari Elisa</t>
  </si>
  <si>
    <t>Ferrari Laura</t>
  </si>
  <si>
    <t>Franco Francesca</t>
  </si>
  <si>
    <t>Galletti Camilla</t>
  </si>
  <si>
    <t>Giovannini Matilde</t>
  </si>
  <si>
    <t>Giubbini Viola</t>
  </si>
  <si>
    <t>Iyamu Charity</t>
  </si>
  <si>
    <t>Lassouli Malak</t>
  </si>
  <si>
    <t>Lusetti Gaia</t>
  </si>
  <si>
    <t>Niccolai Apostol Sara</t>
  </si>
  <si>
    <t>Orlandi Marianna</t>
  </si>
  <si>
    <t>Rondoni Chiara</t>
  </si>
  <si>
    <t>Rossi Margherita</t>
  </si>
  <si>
    <t>Stefanelli Irene</t>
  </si>
  <si>
    <t>Trevisi Greta</t>
  </si>
  <si>
    <t>Barani Elena</t>
  </si>
  <si>
    <t>Nila</t>
  </si>
  <si>
    <t>Bertolino</t>
  </si>
  <si>
    <t>Alice</t>
  </si>
  <si>
    <t>Morosi</t>
  </si>
  <si>
    <t>Ala</t>
  </si>
  <si>
    <t>Bianca Ioana</t>
  </si>
  <si>
    <t>Barbosu</t>
  </si>
  <si>
    <t>Terzino/Centrale</t>
  </si>
  <si>
    <t>Michela</t>
  </si>
  <si>
    <t>Cobianchi</t>
  </si>
  <si>
    <t>Eleonora</t>
  </si>
  <si>
    <t>Colloredo</t>
  </si>
  <si>
    <t>Ghilardi</t>
  </si>
  <si>
    <t>Adele</t>
  </si>
  <si>
    <t>Piovani</t>
  </si>
  <si>
    <t>Barbuscia</t>
  </si>
  <si>
    <t>Taddeo</t>
  </si>
  <si>
    <t>Gozzi</t>
  </si>
  <si>
    <t>Ala/Centrale</t>
  </si>
  <si>
    <t>Trevisan</t>
  </si>
  <si>
    <t>Ala/Pivot</t>
  </si>
  <si>
    <t>Zanellini</t>
  </si>
  <si>
    <t>Ala </t>
  </si>
  <si>
    <t>Ilaria</t>
  </si>
  <si>
    <t>Lain</t>
  </si>
  <si>
    <t>Marijana</t>
  </si>
  <si>
    <t>Tanic</t>
  </si>
  <si>
    <t>SRB</t>
  </si>
  <si>
    <t>Lisa</t>
  </si>
  <si>
    <t>Ponti</t>
  </si>
  <si>
    <t>Laita</t>
  </si>
  <si>
    <t>Centrale/Ala</t>
  </si>
  <si>
    <t>Miriam</t>
  </si>
  <si>
    <t>Maggioni</t>
  </si>
  <si>
    <t>Asia</t>
  </si>
  <si>
    <t>Macchi</t>
  </si>
  <si>
    <t>Alessandra</t>
  </si>
  <si>
    <t>Bassanese</t>
  </si>
  <si>
    <t>Davide</t>
  </si>
  <si>
    <t>Kolec</t>
  </si>
  <si>
    <t>Bertolino Nila</t>
  </si>
  <si>
    <t>Morosi Alice</t>
  </si>
  <si>
    <t>Barbosu Bianca Ioana</t>
  </si>
  <si>
    <t>Cobianchi Michela</t>
  </si>
  <si>
    <t>Colloredo Eleonora</t>
  </si>
  <si>
    <t>Ghilardi Sofia</t>
  </si>
  <si>
    <t>Piovani Adele</t>
  </si>
  <si>
    <t>Barbuscia Martina</t>
  </si>
  <si>
    <t>Taddeo Sofia</t>
  </si>
  <si>
    <t>Gozzi Giulia</t>
  </si>
  <si>
    <t>Trevisan Alice</t>
  </si>
  <si>
    <t>Zanellini Sara</t>
  </si>
  <si>
    <t>Lain Ilaria</t>
  </si>
  <si>
    <t>Tanic Marijana</t>
  </si>
  <si>
    <t>Ponti Lisa</t>
  </si>
  <si>
    <t>Laita Giulia</t>
  </si>
  <si>
    <t>Maggioni Miriam</t>
  </si>
  <si>
    <t>Macchi Asia</t>
  </si>
  <si>
    <t>Bassanese Alessandra</t>
  </si>
  <si>
    <t>Kolec Davide</t>
  </si>
  <si>
    <t>Prela</t>
  </si>
  <si>
    <t>Meneghini</t>
  </si>
  <si>
    <t>Broch</t>
  </si>
  <si>
    <t>Anabel</t>
  </si>
  <si>
    <t>Enghianruwa</t>
  </si>
  <si>
    <t>Judy</t>
  </si>
  <si>
    <t>Ghonim</t>
  </si>
  <si>
    <t>EGY</t>
  </si>
  <si>
    <t>Ifeoma</t>
  </si>
  <si>
    <t>Okorie</t>
  </si>
  <si>
    <t>Mainten</t>
  </si>
  <si>
    <t>Montero</t>
  </si>
  <si>
    <t>Centrale/Pivot</t>
  </si>
  <si>
    <t>Onesti</t>
  </si>
  <si>
    <t>Mimie</t>
  </si>
  <si>
    <t>Nardomarino</t>
  </si>
  <si>
    <t>Aurora</t>
  </si>
  <si>
    <t>Balata</t>
  </si>
  <si>
    <t>Griggio</t>
  </si>
  <si>
    <t>Nicole</t>
  </si>
  <si>
    <t>Rettore</t>
  </si>
  <si>
    <t>Letizia</t>
  </si>
  <si>
    <t>Bebli</t>
  </si>
  <si>
    <t>Ingrid</t>
  </si>
  <si>
    <t>Bergamasco</t>
  </si>
  <si>
    <t>Ada</t>
  </si>
  <si>
    <t>Desiree</t>
  </si>
  <si>
    <t>Vasile</t>
  </si>
  <si>
    <t>Raicu</t>
  </si>
  <si>
    <t>Agata</t>
  </si>
  <si>
    <t>Giardini</t>
  </si>
  <si>
    <t>Mauro</t>
  </si>
  <si>
    <t>Marchionni</t>
  </si>
  <si>
    <t>Mario</t>
  </si>
  <si>
    <t>Filiciotto</t>
  </si>
  <si>
    <t>Vice-allenatore</t>
  </si>
  <si>
    <t>Prela Angela</t>
  </si>
  <si>
    <t>Meneghini Giorgia</t>
  </si>
  <si>
    <t>Broch Martina</t>
  </si>
  <si>
    <t>Enghianruwa Anabel</t>
  </si>
  <si>
    <t>Ghonim Judy</t>
  </si>
  <si>
    <t>Okorie Ifeoma</t>
  </si>
  <si>
    <t>Montero Mainten</t>
  </si>
  <si>
    <t>Onesti Rachele</t>
  </si>
  <si>
    <t>Nardomarino Mimie</t>
  </si>
  <si>
    <t>Balata Aurora</t>
  </si>
  <si>
    <t>Griggio Giorgia</t>
  </si>
  <si>
    <t>Rettore Nicole</t>
  </si>
  <si>
    <t>Bebli Letizia</t>
  </si>
  <si>
    <t>Bergamasco Ingrid</t>
  </si>
  <si>
    <t>Okorie Ada</t>
  </si>
  <si>
    <t>Vasile Desiree</t>
  </si>
  <si>
    <t>Raicu Aurora</t>
  </si>
  <si>
    <t>Giardini Agata</t>
  </si>
  <si>
    <t>Marchionni Mauro</t>
  </si>
  <si>
    <t>Filiciotto Mario</t>
  </si>
  <si>
    <t>Germancar Nuoro</t>
  </si>
  <si>
    <t>Silvia</t>
  </si>
  <si>
    <t>Basolu</t>
  </si>
  <si>
    <t>Ala Sx/Centrale</t>
  </si>
  <si>
    <t>Martina </t>
  </si>
  <si>
    <t>Calia</t>
  </si>
  <si>
    <t>Alessia </t>
  </si>
  <si>
    <t>Floris</t>
  </si>
  <si>
    <t>Centrale/Ala sx</t>
  </si>
  <si>
    <t>Fois</t>
  </si>
  <si>
    <t>Enrica</t>
  </si>
  <si>
    <t>Ganga</t>
  </si>
  <si>
    <t>Danielys</t>
  </si>
  <si>
    <t>Herranz Reyes </t>
  </si>
  <si>
    <t>CUB</t>
  </si>
  <si>
    <t>Antonella</t>
  </si>
  <si>
    <t>Lostia</t>
  </si>
  <si>
    <t>Valeria</t>
  </si>
  <si>
    <t>Mazzitelli</t>
  </si>
  <si>
    <t>Mereu</t>
  </si>
  <si>
    <t>Mirotta Cabanas</t>
  </si>
  <si>
    <t>ARG/ESP</t>
  </si>
  <si>
    <t>Josephine Line Maxime</t>
  </si>
  <si>
    <t>Nkou</t>
  </si>
  <si>
    <t>Luisella</t>
  </si>
  <si>
    <t>Podda</t>
  </si>
  <si>
    <t>Sias</t>
  </si>
  <si>
    <t>Katarina</t>
  </si>
  <si>
    <t>Suberic</t>
  </si>
  <si>
    <t>CRO/SRB</t>
  </si>
  <si>
    <t>Sandra </t>
  </si>
  <si>
    <t>Radovic</t>
  </si>
  <si>
    <t>Zedda</t>
  </si>
  <si>
    <t>Roberto</t>
  </si>
  <si>
    <t>Deiana</t>
  </si>
  <si>
    <t>Deiana Roberto</t>
  </si>
  <si>
    <t>Basolu Silvia</t>
  </si>
  <si>
    <t>Calia Martina </t>
  </si>
  <si>
    <t>Floris Alessia </t>
  </si>
  <si>
    <t>Floris Martina</t>
  </si>
  <si>
    <t>Fois Giorgia</t>
  </si>
  <si>
    <t>Fois Giulia</t>
  </si>
  <si>
    <t>Ganga Enrica</t>
  </si>
  <si>
    <t>Herranz Reyes  Danielys</t>
  </si>
  <si>
    <t>Lostia Antonella</t>
  </si>
  <si>
    <t>Mazzitelli Valeria</t>
  </si>
  <si>
    <t>Mereu Marianna</t>
  </si>
  <si>
    <t>Mirotta Cabanas Agustina</t>
  </si>
  <si>
    <t>Nkou Josephine Line Maxime</t>
  </si>
  <si>
    <t>Podda Luisella</t>
  </si>
  <si>
    <t>Sias Nicole</t>
  </si>
  <si>
    <t>Suberic Katarina</t>
  </si>
  <si>
    <t>Radovic Sandra </t>
  </si>
  <si>
    <t>Zedda Aurora</t>
  </si>
  <si>
    <t>Antonella Valentina</t>
  </si>
  <si>
    <t>Piantini Avendano</t>
  </si>
  <si>
    <t>ITA/CHI</t>
  </si>
  <si>
    <t>Asia </t>
  </si>
  <si>
    <t>Mangone</t>
  </si>
  <si>
    <t>Aurora </t>
  </si>
  <si>
    <t>Gislimberti</t>
  </si>
  <si>
    <t>Catarina</t>
  </si>
  <si>
    <t>Sucacuexe Paulo Sebastiao</t>
  </si>
  <si>
    <t>ANG</t>
  </si>
  <si>
    <t>Cecilie</t>
  </si>
  <si>
    <t>Woller</t>
  </si>
  <si>
    <t>DEN</t>
  </si>
  <si>
    <t>Cyrielle Paola</t>
  </si>
  <si>
    <t>Lauretti Matos</t>
  </si>
  <si>
    <t>Edita </t>
  </si>
  <si>
    <t>Nukovic</t>
  </si>
  <si>
    <t>DEN/SRB</t>
  </si>
  <si>
    <t>Emma </t>
  </si>
  <si>
    <t>Salvaro</t>
  </si>
  <si>
    <t>Giulia Antonia</t>
  </si>
  <si>
    <t>Fabbo</t>
  </si>
  <si>
    <t>Rossomando</t>
  </si>
  <si>
    <t>Dalla Costa</t>
  </si>
  <si>
    <t>Danti</t>
  </si>
  <si>
    <t>Lepori</t>
  </si>
  <si>
    <t>De Santis</t>
  </si>
  <si>
    <t>Olga </t>
  </si>
  <si>
    <t>Lanfredi</t>
  </si>
  <si>
    <t>Nappa</t>
  </si>
  <si>
    <t>Adinolfi</t>
  </si>
  <si>
    <t>Terzino/Ala</t>
  </si>
  <si>
    <t>Rispoli</t>
  </si>
  <si>
    <t>Đurđina</t>
  </si>
  <si>
    <t>Malović</t>
  </si>
  <si>
    <t>MNE</t>
  </si>
  <si>
    <t>Adrian</t>
  </si>
  <si>
    <t>Chirut</t>
  </si>
  <si>
    <t>Piantini Avendano Antonella Valentina</t>
  </si>
  <si>
    <t>Mangone Asia </t>
  </si>
  <si>
    <t>Gislimberti Aurora </t>
  </si>
  <si>
    <t>Sucacuexe Paulo Sebastiao Catarina</t>
  </si>
  <si>
    <t>Woller Cecilie</t>
  </si>
  <si>
    <t>Lauretti Matos Cyrielle Paola</t>
  </si>
  <si>
    <t>Nukovic Edita </t>
  </si>
  <si>
    <t>Salvaro Emma </t>
  </si>
  <si>
    <t>Fabbo Giulia Antonia</t>
  </si>
  <si>
    <t>Rossomando Giulia</t>
  </si>
  <si>
    <t>Dalla Costa Ilaria</t>
  </si>
  <si>
    <t>Danti Margherita</t>
  </si>
  <si>
    <t>Lepori Margherita</t>
  </si>
  <si>
    <t>De Santis Martina </t>
  </si>
  <si>
    <t>Lanfredi Olga </t>
  </si>
  <si>
    <t>Nappa Giulia</t>
  </si>
  <si>
    <t>Adinolfi Giorgia</t>
  </si>
  <si>
    <t>Rispoli Martina</t>
  </si>
  <si>
    <t>Malović Đurđina</t>
  </si>
  <si>
    <t>Chirut Adrian</t>
  </si>
  <si>
    <t>Andreani</t>
  </si>
  <si>
    <t>Lara Andrea</t>
  </si>
  <si>
    <t>Anelli</t>
  </si>
  <si>
    <t>Laeticia Petronie</t>
  </si>
  <si>
    <t>Ateba Engadi</t>
  </si>
  <si>
    <t>CMR</t>
  </si>
  <si>
    <t>Bigolin</t>
  </si>
  <si>
    <t>Bonometti</t>
  </si>
  <si>
    <t>Giuseppina</t>
  </si>
  <si>
    <t>D’Ambrosio</t>
  </si>
  <si>
    <t>Emanuelli</t>
  </si>
  <si>
    <t>Iuliana</t>
  </si>
  <si>
    <t>Faig</t>
  </si>
  <si>
    <t>Isabella</t>
  </si>
  <si>
    <t>Favalli</t>
  </si>
  <si>
    <t>Jasleen</t>
  </si>
  <si>
    <t>Kaur</t>
  </si>
  <si>
    <t>Rachel</t>
  </si>
  <si>
    <t>Kellner</t>
  </si>
  <si>
    <t>Olena</t>
  </si>
  <si>
    <t>Kovtun</t>
  </si>
  <si>
    <t>UKR</t>
  </si>
  <si>
    <t>Giulia Maria</t>
  </si>
  <si>
    <t>Lavagnini</t>
  </si>
  <si>
    <t>Lumaraku</t>
  </si>
  <si>
    <t>Sille</t>
  </si>
  <si>
    <t>Masi Schonherr</t>
  </si>
  <si>
    <t>Moulahi</t>
  </si>
  <si>
    <t>Laure</t>
  </si>
  <si>
    <t>Oliveri</t>
  </si>
  <si>
    <t>Plazzotta</t>
  </si>
  <si>
    <t>Romina</t>
  </si>
  <si>
    <t>Ramazzotti</t>
  </si>
  <si>
    <t>Ludovica</t>
  </si>
  <si>
    <t>Telò</t>
  </si>
  <si>
    <t>Tescione</t>
  </si>
  <si>
    <t>Sbalchiero</t>
  </si>
  <si>
    <t>Arnau</t>
  </si>
  <si>
    <t>Ortuno Serra</t>
  </si>
  <si>
    <t>Andreani Sara</t>
  </si>
  <si>
    <t>Anelli Lara Andrea</t>
  </si>
  <si>
    <t>Ateba Engadi Laeticia Petronie</t>
  </si>
  <si>
    <t>Bigolin Erika</t>
  </si>
  <si>
    <t>Bonometti Sara</t>
  </si>
  <si>
    <t>Bonometti Sofia</t>
  </si>
  <si>
    <t>D’Ambrosio Giuseppina</t>
  </si>
  <si>
    <t>Emanuelli Camilla</t>
  </si>
  <si>
    <t>Faig Iuliana</t>
  </si>
  <si>
    <t>Favalli Isabella</t>
  </si>
  <si>
    <t>Kaur Jasleen</t>
  </si>
  <si>
    <t>Kellner Rachel</t>
  </si>
  <si>
    <t>Kovtun Olena</t>
  </si>
  <si>
    <t>Lavagnini Giulia Maria</t>
  </si>
  <si>
    <t>Lavagnini Mara</t>
  </si>
  <si>
    <t>Lumaraku Viola</t>
  </si>
  <si>
    <t>Masi Schonherr Sille</t>
  </si>
  <si>
    <t>Moulahi Sara</t>
  </si>
  <si>
    <t>Oliveri Laure</t>
  </si>
  <si>
    <t>Plazzotta Adele</t>
  </si>
  <si>
    <t>Ramazzotti Romina</t>
  </si>
  <si>
    <t>Telò Ludovica</t>
  </si>
  <si>
    <t>Tescione Laura</t>
  </si>
  <si>
    <t>Sbalchiero Silvia</t>
  </si>
  <si>
    <t>Ortuno Serra Arnau</t>
  </si>
  <si>
    <t>Emely</t>
  </si>
  <si>
    <t>Amplatz</t>
  </si>
  <si>
    <t>Bernardelle</t>
  </si>
  <si>
    <t>Annachiara</t>
  </si>
  <si>
    <t>Campestrini</t>
  </si>
  <si>
    <t>Noemi</t>
  </si>
  <si>
    <t>Coati</t>
  </si>
  <si>
    <t>Anja</t>
  </si>
  <si>
    <t>Coser</t>
  </si>
  <si>
    <t>Luisa</t>
  </si>
  <si>
    <t>Dalla Valle</t>
  </si>
  <si>
    <t>Natalie</t>
  </si>
  <si>
    <t>Falser</t>
  </si>
  <si>
    <t>Terzino sx/centrale</t>
  </si>
  <si>
    <t>Groff</t>
  </si>
  <si>
    <t>Italiano</t>
  </si>
  <si>
    <t>Julia</t>
  </si>
  <si>
    <t>Maurer</t>
  </si>
  <si>
    <t>Lea</t>
  </si>
  <si>
    <t>Mazzucchi</t>
  </si>
  <si>
    <t>Terzino/Ala dx</t>
  </si>
  <si>
    <t>Candida Queta</t>
  </si>
  <si>
    <t>Mundumbo</t>
  </si>
  <si>
    <t>Pasolli</t>
  </si>
  <si>
    <t>Magdalena</t>
  </si>
  <si>
    <t>Pernter</t>
  </si>
  <si>
    <t>Marika</t>
  </si>
  <si>
    <t>Pilati</t>
  </si>
  <si>
    <t>Alina</t>
  </si>
  <si>
    <t>Rabanser</t>
  </si>
  <si>
    <t>Raifer</t>
  </si>
  <si>
    <t>Esperanza Felicia</t>
  </si>
  <si>
    <t>Rivera Ventura</t>
  </si>
  <si>
    <t>Beatrice</t>
  </si>
  <si>
    <t>Tasinato</t>
  </si>
  <si>
    <t>Imaculada Matos</t>
  </si>
  <si>
    <t>Tito</t>
  </si>
  <si>
    <t>Tubi</t>
  </si>
  <si>
    <t>Ania</t>
  </si>
  <si>
    <t>Valentinotti</t>
  </si>
  <si>
    <t>Sonia</t>
  </si>
  <si>
    <t>Nikolay Georgiev</t>
  </si>
  <si>
    <t>Boev</t>
  </si>
  <si>
    <t>Rizzoli</t>
  </si>
  <si>
    <t>Amplatz Emely</t>
  </si>
  <si>
    <t>Bernardelle Chiara</t>
  </si>
  <si>
    <t>Campestrini Annachiara</t>
  </si>
  <si>
    <t>Coati Noemi</t>
  </si>
  <si>
    <t>Coser Anja</t>
  </si>
  <si>
    <t>Dalla Valle Luisa</t>
  </si>
  <si>
    <t>Falser Natalie</t>
  </si>
  <si>
    <t>Groff Alice</t>
  </si>
  <si>
    <t>Italiano Eleonora</t>
  </si>
  <si>
    <t>Maurer Julia</t>
  </si>
  <si>
    <t>Maurer Lea</t>
  </si>
  <si>
    <t>Mazzucchi Arianna</t>
  </si>
  <si>
    <t>Mundumbo Candida Queta</t>
  </si>
  <si>
    <t>Pasolli Sofia</t>
  </si>
  <si>
    <t>Pernter Magdalena</t>
  </si>
  <si>
    <t>Pilati Marika</t>
  </si>
  <si>
    <t>Rabanser Alina</t>
  </si>
  <si>
    <t>Raifer Hannah</t>
  </si>
  <si>
    <t>Rivera Ventura Esperanza Felicia</t>
  </si>
  <si>
    <t>Tasinato Beatrice</t>
  </si>
  <si>
    <t>Tito Imaculada Matos</t>
  </si>
  <si>
    <t>Tubi Margherita</t>
  </si>
  <si>
    <t>Valentinotti Ania</t>
  </si>
  <si>
    <t>Giovannini Sonia</t>
  </si>
  <si>
    <t>Boev Nikolay Georgiev</t>
  </si>
  <si>
    <t>Rizzoli Giorgia</t>
  </si>
  <si>
    <t>Ariosto Ferrara</t>
  </si>
  <si>
    <t>Maria Fernanda</t>
  </si>
  <si>
    <t>Marrochi Ongay</t>
  </si>
  <si>
    <t>Ferrara</t>
  </si>
  <si>
    <t>Janni</t>
  </si>
  <si>
    <t>Katia</t>
  </si>
  <si>
    <t>Soglietti</t>
  </si>
  <si>
    <t>Vitale</t>
  </si>
  <si>
    <t>Badiali</t>
  </si>
  <si>
    <t>Terzino sx/Ala sx</t>
  </si>
  <si>
    <t>Degli Uberti</t>
  </si>
  <si>
    <t>Ala sx/Ala dx</t>
  </si>
  <si>
    <t>Gambato</t>
  </si>
  <si>
    <t>Guarelli</t>
  </si>
  <si>
    <t>Magri</t>
  </si>
  <si>
    <t>Malaguti</t>
  </si>
  <si>
    <t>Amani</t>
  </si>
  <si>
    <t>Sallami</t>
  </si>
  <si>
    <t>TUN</t>
  </si>
  <si>
    <t>Aitana</t>
  </si>
  <si>
    <t>Yugueros Tarazona</t>
  </si>
  <si>
    <t>Fatima Veronica</t>
  </si>
  <si>
    <t>Ocampos Morel</t>
  </si>
  <si>
    <t>PRY</t>
  </si>
  <si>
    <t>Maria Paula</t>
  </si>
  <si>
    <t>Visentin Kerper</t>
  </si>
  <si>
    <t>Angelica</t>
  </si>
  <si>
    <t>Manfedini</t>
  </si>
  <si>
    <t>Mattia</t>
  </si>
  <si>
    <t>Melis</t>
  </si>
  <si>
    <t>Marrochi Ongay Maria Fernanda</t>
  </si>
  <si>
    <t>Ferrara Chiara</t>
  </si>
  <si>
    <t>Janni Aurora</t>
  </si>
  <si>
    <t>Soglietti Katia</t>
  </si>
  <si>
    <t>Vitale Gabriela</t>
  </si>
  <si>
    <t>Badiali Chiara</t>
  </si>
  <si>
    <t>Degli Uberti Lucia</t>
  </si>
  <si>
    <t>Gambato Anita</t>
  </si>
  <si>
    <t>Guarelli Irene</t>
  </si>
  <si>
    <t>Magri Anna</t>
  </si>
  <si>
    <t>Malaguti Emma</t>
  </si>
  <si>
    <t>Sallami Amani</t>
  </si>
  <si>
    <t>Yugueros Tarazona Aitana</t>
  </si>
  <si>
    <t>Ocampos Morel Fatima Veronica</t>
  </si>
  <si>
    <t>Visentin Kerper Maria Paula</t>
  </si>
  <si>
    <t>Manfedini Angelica</t>
  </si>
  <si>
    <t>Melis Mattia</t>
  </si>
  <si>
    <t>Teramo</t>
  </si>
  <si>
    <t>Elisabeth</t>
  </si>
  <si>
    <t>Niki</t>
  </si>
  <si>
    <t>Ratsika</t>
  </si>
  <si>
    <t>GRE</t>
  </si>
  <si>
    <t>Marilena</t>
  </si>
  <si>
    <t>Panayotova</t>
  </si>
  <si>
    <t>BUL</t>
  </si>
  <si>
    <t>Micaela</t>
  </si>
  <si>
    <t>Di Pietro</t>
  </si>
  <si>
    <t>Eduarda Mariele</t>
  </si>
  <si>
    <t>Engel</t>
  </si>
  <si>
    <t>Fatou</t>
  </si>
  <si>
    <t>Sila</t>
  </si>
  <si>
    <t>Lucia Fiorella</t>
  </si>
  <si>
    <t>Giamberardino</t>
  </si>
  <si>
    <t>Canzio</t>
  </si>
  <si>
    <t>De Flaviis</t>
  </si>
  <si>
    <t>Rebecca</t>
  </si>
  <si>
    <t>Farisé</t>
  </si>
  <si>
    <t>Pugliara</t>
  </si>
  <si>
    <t>De Angelis</t>
  </si>
  <si>
    <t>Conte</t>
  </si>
  <si>
    <t>Notarianni</t>
  </si>
  <si>
    <t>Capone</t>
  </si>
  <si>
    <t>Maria Daniela</t>
  </si>
  <si>
    <t>Palarie</t>
  </si>
  <si>
    <t>Galletti Elisabeth</t>
  </si>
  <si>
    <t>Ratsika Niki</t>
  </si>
  <si>
    <t>Panayotova Marilena</t>
  </si>
  <si>
    <t>Di Pietro Micaela</t>
  </si>
  <si>
    <t>Engel Eduarda Mariele</t>
  </si>
  <si>
    <t>Sila Fatou</t>
  </si>
  <si>
    <t>Giamberardino Lucia Fiorella</t>
  </si>
  <si>
    <t>Canzio Chiara</t>
  </si>
  <si>
    <t>De Flaviis Giulia</t>
  </si>
  <si>
    <t>Farisé Rebecca</t>
  </si>
  <si>
    <t>Pugliara Beatrice</t>
  </si>
  <si>
    <t>De Angelis Arianna</t>
  </si>
  <si>
    <t>Conte Giulia</t>
  </si>
  <si>
    <t>Notarianni Michela</t>
  </si>
  <si>
    <t>Capone Rebecca</t>
  </si>
  <si>
    <t>Palarie Maria Daniela</t>
  </si>
  <si>
    <t>Serie A1 Femminile</t>
  </si>
  <si>
    <t>Serie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</si>
</sst>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36"/>
      <color rgb="FF0000FF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dotted">
        <color rgb="FF0000FF"/>
      </top>
      <bottom style="dotted">
        <color rgb="FF0000FF"/>
      </bottom>
      <diagonal/>
    </border>
    <border>
      <left/>
      <right style="thick">
        <color rgb="FF0000FF"/>
      </right>
      <top style="dotted">
        <color rgb="FF0000FF"/>
      </top>
      <bottom style="dotted">
        <color rgb="FF0000F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5" fillId="0" borderId="0" xfId="0" applyFont="1"/>
    <xf numFmtId="0" fontId="5" fillId="0" borderId="5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/>
    <xf numFmtId="0" fontId="0" fillId="0" borderId="0" xfId="0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1"/>
    <xf numFmtId="0" fontId="10" fillId="0" borderId="0" xfId="0" applyFont="1" applyAlignment="1">
      <alignment horizontal="center" vertical="center"/>
    </xf>
    <xf numFmtId="0" fontId="0" fillId="0" borderId="6" xfId="0" applyBorder="1"/>
    <xf numFmtId="0" fontId="10" fillId="0" borderId="7" xfId="0" applyFont="1" applyBorder="1" applyAlignment="1">
      <alignment horizontal="center" vertical="center"/>
    </xf>
    <xf numFmtId="0" fontId="9" fillId="0" borderId="8" xfId="1" applyBorder="1"/>
    <xf numFmtId="0" fontId="8" fillId="0" borderId="9" xfId="0" applyFont="1" applyBorder="1" applyAlignment="1">
      <alignment vertical="center"/>
    </xf>
    <xf numFmtId="0" fontId="9" fillId="0" borderId="10" xfId="1" applyBorder="1"/>
    <xf numFmtId="0" fontId="8" fillId="0" borderId="11" xfId="0" applyFont="1" applyBorder="1" applyAlignment="1">
      <alignment vertical="center"/>
    </xf>
  </cellXfs>
  <cellStyles count="2">
    <cellStyle name="Collegamento ipertestuale" xfId="1" builtinId="8"/>
    <cellStyle name="Normale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font>
        <b/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quadr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180975</xdr:rowOff>
    </xdr:from>
    <xdr:to>
      <xdr:col>1</xdr:col>
      <xdr:colOff>381000</xdr:colOff>
      <xdr:row>3</xdr:row>
      <xdr:rowOff>66675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E94630-AE8E-BE36-19FC-0F8490F19C99}"/>
            </a:ext>
          </a:extLst>
        </xdr:cNvPr>
        <xdr:cNvSpPr/>
      </xdr:nvSpPr>
      <xdr:spPr>
        <a:xfrm>
          <a:off x="419100" y="371475"/>
          <a:ext cx="571500" cy="2667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1" i="0" baseline="0"/>
            <a:t>Elenco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571500</xdr:colOff>
      <xdr:row>3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4FF736-C96F-4843-93BC-EA9E7C1C9AC9}"/>
            </a:ext>
          </a:extLst>
        </xdr:cNvPr>
        <xdr:cNvSpPr/>
      </xdr:nvSpPr>
      <xdr:spPr>
        <a:xfrm>
          <a:off x="609600" y="3810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4" name="Rettango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D1EE8-5ADA-40C4-B68E-E05E948DEB8C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5344F-4D8B-4587-B4DF-159EE4AA3234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5AC76-E0AB-46D0-B2DE-837D92EB1D3B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9F2CC-1FF6-4277-9484-D394F0AFE555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17003D-AF3F-4C99-B1CA-365E98CDBB58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27EB6E-7CBC-45AB-8443-199E823ADA7D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1C1DD-1279-4F06-9082-FE429F06D121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447FB6-3C3F-42CE-A93F-04E5AD1B86A5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8D416E-78F8-4AD4-BD6C-886A00D885BB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6BD3B-4CBF-4BCC-A770-E438F8330479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5BFA2F-6BFC-4269-8E5D-581BDC47161B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55DBA-FF49-410C-8905-8EB5F2328EB0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3" name="Rettango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AE7397-A720-4639-8ADE-76BA52A93C0B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ACE871-573E-407C-BF4A-3FFAB4011BCC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399405-3965-4FC2-A119-5A4B2BB6D9CB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E26293-D0DF-438E-98DF-412F139A8859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A85C99-24A6-4F01-93F7-79C7E7EE6544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571500</xdr:colOff>
      <xdr:row>2</xdr:row>
      <xdr:rowOff>76200</xdr:rowOff>
    </xdr:to>
    <xdr:sp macro="" textlink="">
      <xdr:nvSpPr>
        <xdr:cNvPr id="2" name="Rettango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29B447-67A6-4D2D-8349-00F343311ECE}"/>
            </a:ext>
          </a:extLst>
        </xdr:cNvPr>
        <xdr:cNvSpPr/>
      </xdr:nvSpPr>
      <xdr:spPr>
        <a:xfrm>
          <a:off x="609600" y="190500"/>
          <a:ext cx="571500" cy="266700"/>
        </a:xfrm>
        <a:prstGeom prst="rect">
          <a:avLst/>
        </a:prstGeom>
        <a:solidFill>
          <a:srgbClr val="92D05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Elenco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B4BDE8-73BB-4B86-9C29-044C4CB1DCEB}" name="Tabella111" displayName="Tabella111" ref="E4:G26" totalsRowShown="0">
  <autoFilter ref="E4:G26" xr:uid="{52D9A3E3-DD02-4C54-A04C-C14C14872A49}"/>
  <tableColumns count="3">
    <tableColumn id="1" xr3:uid="{5AF11567-1A64-41A2-890D-F99326B735B5}" name="Colonna1" dataDxfId="25"/>
    <tableColumn id="2" xr3:uid="{809DAB7D-F3A8-4C5A-A2A9-186614DC97B8}" name="N°"/>
    <tableColumn id="3" xr3:uid="{EBB459AD-08CA-485A-ABB9-FC986BC72930}" name="Dati da Caricar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AAECC1-2E91-4EF3-9788-62BF02162B15}" name="Tabella212" displayName="Tabella212" ref="I4:K26" totalsRowShown="0">
  <autoFilter ref="I4:K26" xr:uid="{7F0663B9-3209-46D3-BB06-F8E01132EB05}"/>
  <tableColumns count="3">
    <tableColumn id="1" xr3:uid="{C4DB4360-A332-4079-B8B1-22E7026202A5}" name="Colonna1" dataDxfId="24"/>
    <tableColumn id="2" xr3:uid="{DB356104-3877-4D15-8739-16F03BC0BB06}" name="N°"/>
    <tableColumn id="3" xr3:uid="{C493892C-5F48-4A2E-9A0B-9E9F8DF8E557}" name="Dati da Caricare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0038B3-63DA-4589-8BE9-3BC34300F7E6}" name="Tabella21214" displayName="Tabella21214" ref="P4:Q26" totalsRowShown="0" headerRowDxfId="23" tableBorderDxfId="22">
  <autoFilter ref="P4:Q26" xr:uid="{FE0038B3-63DA-4589-8BE9-3BC34300F7E6}"/>
  <tableColumns count="2">
    <tableColumn id="2" xr3:uid="{9CFD5B67-C6EA-49C3-BC17-AA1193BF6CB9}" name="N°" dataDxfId="21"/>
    <tableColumn id="3" xr3:uid="{5F57CAAA-2D40-4143-8776-325ED07937CA}" name="Dati da Caricare" dataDxfId="20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BAA227-BA87-4F54-B64E-78CD6CD0CFFB}" name="Tabella36" displayName="Tabella36" ref="N4:P36" totalsRowShown="0">
  <autoFilter ref="N4:P36" xr:uid="{5FBAA227-BA87-4F54-B64E-78CD6CD0CFFB}"/>
  <tableColumns count="3">
    <tableColumn id="1" xr3:uid="{72ECA837-D20A-4423-8189-BD933D525633}" name="Colonna1"/>
    <tableColumn id="2" xr3:uid="{BD3ADAD8-BB69-4D17-A4F7-EBF0D6E4F779}" name="N°" dataDxfId="19"/>
    <tableColumn id="3" xr3:uid="{9BA31AB3-7C8A-4EAE-860D-7F28C0470055}" name="Dati da Caricar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CD2CE-1522-49FE-A93F-981CB9FAB39F}" name="Tabella1a" displayName="Tabella1a" ref="D5:E37" totalsRowShown="0">
  <tableColumns count="2">
    <tableColumn id="1" xr3:uid="{2511691B-A1C3-4781-B276-39A1CB727C35}" name="N°"/>
    <tableColumn id="2" xr3:uid="{D80D0A83-9DA7-40D4-A294-863581F126F1}" name="Nome" dataDxfId="18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B01126-7E2E-468A-8DC8-2A6B86800363}" name="Tabella1b" displayName="Tabella1b" ref="G5:H15" totalsRowShown="0">
  <autoFilter ref="G5:H15" xr:uid="{82B01126-7E2E-468A-8DC8-2A6B86800363}"/>
  <tableColumns count="2">
    <tableColumn id="1" xr3:uid="{315D0BD9-744D-483D-B1C6-DDB4CFC169A8}" name="N°"/>
    <tableColumn id="2" xr3:uid="{1DCDAEE4-08C0-4653-8188-8DC5F7ADC834}" name="Nome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8633E2-3A41-4A1F-937C-6FA7ED2F34DF}" name="Tabella2a" displayName="Tabella2a" ref="D5:E37" totalsRowShown="0">
  <tableColumns count="2">
    <tableColumn id="1" xr3:uid="{F46B3E3C-C3EC-464C-BDEB-8D599C4CB2C4}" name="N°"/>
    <tableColumn id="2" xr3:uid="{F4C6F96C-928B-4F65-81D0-D8891D302C20}" name="Nome" dataDxfId="17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5E5A7B-E52B-4004-AB3C-E510A9A994C4}" name="Tabella2b" displayName="Tabella2b" ref="G5:H15" totalsRowShown="0">
  <autoFilter ref="G5:H15" xr:uid="{82B01126-7E2E-468A-8DC8-2A6B86800363}"/>
  <tableColumns count="2">
    <tableColumn id="1" xr3:uid="{6B4DF3A5-D35B-4816-8DE1-48BC5F5CB663}" name="N°"/>
    <tableColumn id="2" xr3:uid="{97E1E367-0F0D-4548-83F8-1F44FEC54DA2}" name="Nome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0B716F-84AA-45C1-9474-7C91689352D6}" name="Tabella3a" displayName="Tabella3a" ref="D5:E37" totalsRowShown="0">
  <tableColumns count="2">
    <tableColumn id="1" xr3:uid="{E6FF31EF-DBE5-4629-8426-387ED9A4F917}" name="N°"/>
    <tableColumn id="2" xr3:uid="{DB0A6C29-5593-4B23-9F05-0D9DEDA20B49}" name="Nome" dataDxfId="16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2A605C1-F551-46C5-8F9C-2D91A952E4C5}" name="Tabella3b" displayName="Tabella3b" ref="G5:H15" totalsRowShown="0">
  <autoFilter ref="G5:H15" xr:uid="{82B01126-7E2E-468A-8DC8-2A6B86800363}"/>
  <tableColumns count="2">
    <tableColumn id="1" xr3:uid="{7F396496-284F-43F7-905F-8A4BEBB8D393}" name="N°"/>
    <tableColumn id="2" xr3:uid="{5F9F6FF6-481D-4C73-B48D-2DF35A85933B}" name="Nome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DD52074-C1D5-4C75-A382-A9FFD233AB29}" name="Tabella4a" displayName="Tabella4a" ref="D5:E37" totalsRowShown="0">
  <tableColumns count="2">
    <tableColumn id="1" xr3:uid="{E092CFEF-C089-45D8-AE8E-1E3526BDE433}" name="N°"/>
    <tableColumn id="2" xr3:uid="{3FF70749-2437-40F6-8C4E-1B35BC0D3925}" name="Nome" dataDxfId="15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B374BAB-B4A6-447A-B9A1-BD0EDDB72221}" name="Tabella4b" displayName="Tabella4b" ref="G5:H15" totalsRowShown="0">
  <autoFilter ref="G5:H15" xr:uid="{82B01126-7E2E-468A-8DC8-2A6B86800363}"/>
  <tableColumns count="2">
    <tableColumn id="1" xr3:uid="{9F9B70B6-97C6-498B-8AEE-62762182D36C}" name="N°"/>
    <tableColumn id="2" xr3:uid="{1878EB44-EDCB-428E-A772-B62D161CE215}" name="Nome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A0C36E1-3367-43DC-B4FA-8A8F2CE3CE57}" name="Tabella5a" displayName="Tabella5a" ref="D5:E37" totalsRowShown="0">
  <tableColumns count="2">
    <tableColumn id="1" xr3:uid="{3BF1F107-0D4B-4638-9735-0D27A138F67C}" name="N°"/>
    <tableColumn id="2" xr3:uid="{881CA0A8-5A11-44F4-9A17-6627CDB52E33}" name="Nome" dataDxfId="14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CBCAD0-4151-4338-B54E-4E169FBEF478}" name="Tabella5b" displayName="Tabella5b" ref="G5:H15" totalsRowShown="0">
  <autoFilter ref="G5:H15" xr:uid="{82B01126-7E2E-468A-8DC8-2A6B86800363}"/>
  <tableColumns count="2">
    <tableColumn id="1" xr3:uid="{0A2591C1-AC7A-4050-BA4D-0AC53A2E4A4B}" name="N°"/>
    <tableColumn id="2" xr3:uid="{996F0D82-84EA-44AF-B107-9A48579E7C4A}" name="Nome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36867EF-B3FA-46F3-867A-C8C65F6988B6}" name="Tabella6a" displayName="Tabella6a" ref="D5:E37" totalsRowShown="0">
  <tableColumns count="2">
    <tableColumn id="1" xr3:uid="{54C555C8-6470-47F3-8F1D-5082C77E7C9B}" name="N°"/>
    <tableColumn id="2" xr3:uid="{B3190CFD-5FA0-4376-B377-2B67E820F2C5}" name="Nome" dataDxfId="13"/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96D648B-7D5B-4A03-AAD0-8488A8B07988}" name="Tabella6b" displayName="Tabella6b" ref="G5:H15" totalsRowShown="0">
  <autoFilter ref="G5:H15" xr:uid="{82B01126-7E2E-468A-8DC8-2A6B86800363}"/>
  <tableColumns count="2">
    <tableColumn id="1" xr3:uid="{98130A76-4B84-47BF-93BC-DC45DC9DF233}" name="N°"/>
    <tableColumn id="2" xr3:uid="{EFE75E3C-F835-4E25-9025-A73BDF9BFF4C}" name="Nome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AE11AFB-AD49-4ADF-850F-BF2C2396AB28}" name="Tabella7a" displayName="Tabella7a" ref="D5:E37" totalsRowShown="0">
  <tableColumns count="2">
    <tableColumn id="1" xr3:uid="{F162AFDC-E691-4586-9CDF-21DB67566E67}" name="N°"/>
    <tableColumn id="2" xr3:uid="{2AB7F74F-3DC2-4DDA-A4CE-14D56A1D0AC5}" name="Nome" dataDxfId="12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C992176-C369-4B3C-9AED-29A0025DBE45}" name="Tabella7b" displayName="Tabella7b" ref="G5:H15" totalsRowShown="0">
  <autoFilter ref="G5:H15" xr:uid="{82B01126-7E2E-468A-8DC8-2A6B86800363}"/>
  <tableColumns count="2">
    <tableColumn id="1" xr3:uid="{27DF6E6E-241B-48FA-8E7C-41B6CC837EA7}" name="N°"/>
    <tableColumn id="2" xr3:uid="{6522A057-C557-4A0A-BA0B-70F43A384BF1}" name="Nome"/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D8464F-6EF6-4257-A919-7768D73A6F70}" name="Tabella8a" displayName="Tabella8a" ref="D5:E37" totalsRowShown="0">
  <tableColumns count="2">
    <tableColumn id="1" xr3:uid="{995C3045-01BC-44A7-8D4B-D2BD4A80AAB9}" name="N°"/>
    <tableColumn id="2" xr3:uid="{63B8EEF5-D3A1-4ABF-8AC1-34CB2AEA0A20}" name="Nome" dataDxfId="11"/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9FB8ADA-7C33-49F3-8AC2-7F2CD5583052}" name="Tabella8b" displayName="Tabella8b" ref="G5:H15" totalsRowShown="0">
  <autoFilter ref="G5:H15" xr:uid="{82B01126-7E2E-468A-8DC8-2A6B86800363}"/>
  <tableColumns count="2">
    <tableColumn id="1" xr3:uid="{DDB36B4D-24D3-40EA-BAE8-376A66402F40}" name="N°"/>
    <tableColumn id="2" xr3:uid="{056696A6-1262-482F-B91C-4B65518598DC}" name="Nome"/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D2066D-12CD-4C34-8BAA-DBE1136E1703}" name="Tabella9a" displayName="Tabella9a" ref="D5:E37" totalsRowShown="0">
  <tableColumns count="2">
    <tableColumn id="1" xr3:uid="{A23C6F1D-2C86-4CAC-A41F-B7692E721412}" name="N°"/>
    <tableColumn id="2" xr3:uid="{82738F88-0772-46F3-8EDD-982EB06FF257}" name="Nome" dataDxfId="10"/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B579072-2A14-4912-93DB-6871A09CD04B}" name="Tabella9b" displayName="Tabella9b" ref="G5:H15" totalsRowShown="0">
  <autoFilter ref="G5:H15" xr:uid="{82B01126-7E2E-468A-8DC8-2A6B86800363}"/>
  <tableColumns count="2">
    <tableColumn id="1" xr3:uid="{79749B97-3BA5-4821-BD53-6854465C6D4E}" name="N°"/>
    <tableColumn id="2" xr3:uid="{87CD1B07-D3B5-418B-8C72-D94D13C691DC}" name="Nome"/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FEF9142-7E3E-4BA3-BB8C-4DCD9AAC9A4B}" name="Tabella10a" displayName="Tabella10a" ref="D5:E37" totalsRowShown="0">
  <tableColumns count="2">
    <tableColumn id="1" xr3:uid="{B781D39F-8201-498D-9F4F-24004DD66798}" name="N°"/>
    <tableColumn id="2" xr3:uid="{8C89F6BF-960F-49A3-A484-2D5731D8A0FC}" name="Nome" dataDxfId="9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74B9C6D-3896-4C9E-B137-DD1697A78978}" name="Tabella10b" displayName="Tabella10b" ref="G5:H15" totalsRowShown="0">
  <autoFilter ref="G5:H15" xr:uid="{82B01126-7E2E-468A-8DC8-2A6B86800363}"/>
  <tableColumns count="2">
    <tableColumn id="1" xr3:uid="{0C1819F2-6A42-4C02-9974-4B87595C9432}" name="N°"/>
    <tableColumn id="2" xr3:uid="{235069B1-10E7-4BC5-9D21-6F5A24542423}" name="Nome"/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373C26F-4D33-4306-BD22-61570B64A445}" name="Tabella11a" displayName="Tabella11a" ref="D5:E37" totalsRowShown="0">
  <tableColumns count="2">
    <tableColumn id="1" xr3:uid="{61630F82-2EAD-433E-A731-99CB03C00B9B}" name="N°"/>
    <tableColumn id="2" xr3:uid="{ED1937F6-7EE4-4B1B-9472-47B064625B37}" name="Nome" dataDxfId="8"/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219DE3E-204E-48D8-9B73-536364E4186F}" name="Tabella11b" displayName="Tabella11b" ref="G5:H15" totalsRowShown="0">
  <autoFilter ref="G5:H15" xr:uid="{82B01126-7E2E-468A-8DC8-2A6B86800363}"/>
  <tableColumns count="2">
    <tableColumn id="1" xr3:uid="{E981E1C4-49E4-471C-974D-F840D7DEFAD0}" name="N°"/>
    <tableColumn id="2" xr3:uid="{75E30256-4570-4382-8390-C997E25050CE}" name="Nome"/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3A41B04-3631-48E6-8113-E44D02E4D2E6}" name="Tabella12a" displayName="Tabella12a" ref="D5:E37" totalsRowShown="0">
  <tableColumns count="2">
    <tableColumn id="1" xr3:uid="{740BBD88-83F4-4A81-9802-3B04B0780EE6}" name="N°"/>
    <tableColumn id="2" xr3:uid="{C8792B3E-AE6F-4D3E-A78D-644A27445EA5}" name="Nome" dataDxfId="7"/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DC59F1B-38A4-4AA1-ACBF-FD8FE29113E4}" name="Tabella12b" displayName="Tabella12b" ref="G5:H15" totalsRowShown="0">
  <autoFilter ref="G5:H15" xr:uid="{82B01126-7E2E-468A-8DC8-2A6B86800363}"/>
  <tableColumns count="2">
    <tableColumn id="1" xr3:uid="{84106C6A-4E09-40DA-A561-DD1FD55D9E4A}" name="N°"/>
    <tableColumn id="2" xr3:uid="{B0299CCB-E14F-46AB-8775-67C025AFC154}" name="Nome"/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2E5D3C3-C6CC-4FBC-BFCF-B6BDE7BF63FA}" name="Tabella13a" displayName="Tabella13a" ref="D5:E37" totalsRowShown="0">
  <tableColumns count="2">
    <tableColumn id="1" xr3:uid="{2367618A-75E5-4CD1-9BDE-CCD531FA4D38}" name="N°"/>
    <tableColumn id="2" xr3:uid="{089C3815-79B0-4BF9-8420-4498FB66EEFA}" name="Nome" dataDxfId="6"/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6DF0AE-AD6B-4FB8-A196-89F85CC600CD}" name="Tabella13b" displayName="Tabella13b" ref="G5:H15" totalsRowShown="0">
  <autoFilter ref="G5:H15" xr:uid="{82B01126-7E2E-468A-8DC8-2A6B86800363}"/>
  <tableColumns count="2">
    <tableColumn id="1" xr3:uid="{204083E2-65FF-4889-9F98-DB4AA3C21FDD}" name="N°"/>
    <tableColumn id="2" xr3:uid="{34DED52F-4A52-44C5-ABA1-97DE70027424}" name="Nome"/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3EF1BC4-3147-4073-881A-D6380B650ADC}" name="Tabella14a" displayName="Tabella14a" ref="D5:E37" totalsRowShown="0">
  <tableColumns count="2">
    <tableColumn id="1" xr3:uid="{F4159281-632D-4BB9-BD8E-E9EE84E14A1C}" name="N°"/>
    <tableColumn id="2" xr3:uid="{F7F3CD1A-6BAD-4C3B-B3C3-080F926944F5}" name="Nome" dataDxfId="26"/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11DB73D-EA4A-4053-A33D-DD8428719971}" name="Tabella14b" displayName="Tabella14b" ref="G5:H15" totalsRowShown="0">
  <autoFilter ref="G5:H15" xr:uid="{82B01126-7E2E-468A-8DC8-2A6B86800363}"/>
  <tableColumns count="2">
    <tableColumn id="1" xr3:uid="{F375F717-E2A1-47A4-9AD5-9CA336CE4743}" name="N°"/>
    <tableColumn id="2" xr3:uid="{C3416CF8-86FB-43A8-95D7-A97A4BC12DC3}" name="Nome"/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6F05302-927C-468F-AC6A-EE9EEF203445}" name="Tabella15a" displayName="Tabella15a" ref="D5:E37" totalsRowShown="0">
  <tableColumns count="2">
    <tableColumn id="1" xr3:uid="{8DA03690-BA6E-490C-B2AD-05EC2F401F29}" name="N°"/>
    <tableColumn id="2" xr3:uid="{D12E7538-2DA8-4759-80BC-63D7C8E6D769}" name="Nome" dataDxfId="5"/>
  </tableColumns>
  <tableStyleInfo name="TableStyleLight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7A060FE-A081-46B0-8F8A-F74779183566}" name="Tabella15b" displayName="Tabella15b" ref="G5:H15" totalsRowShown="0">
  <autoFilter ref="G5:H15" xr:uid="{82B01126-7E2E-468A-8DC8-2A6B86800363}"/>
  <tableColumns count="2">
    <tableColumn id="1" xr3:uid="{C15DC7AE-C880-4091-9348-07E30B7B6E3D}" name="N°"/>
    <tableColumn id="2" xr3:uid="{ECE26D4F-2259-4854-964E-60643F7C1952}" name="Nome"/>
  </tableColumns>
  <tableStyleInfo name="TableStyleLight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660A12F-45DA-460D-A2EB-CFB5F488A6C8}" name="Tabella16a" displayName="Tabella16a" ref="D5:E37" totalsRowShown="0">
  <tableColumns count="2">
    <tableColumn id="1" xr3:uid="{9BE32432-86AC-4C20-A04F-00F3E8C5926F}" name="N°"/>
    <tableColumn id="2" xr3:uid="{EBE16B78-119E-4C65-B802-434F0758C162}" name="Nome" dataDxfId="4"/>
  </tableColumns>
  <tableStyleInfo name="TableStyleLight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696B2F6-1BD8-4964-A2A8-EEA54C30C6D8}" name="Tabella16b" displayName="Tabella16b" ref="G5:H15" totalsRowShown="0">
  <autoFilter ref="G5:H15" xr:uid="{82B01126-7E2E-468A-8DC8-2A6B86800363}"/>
  <tableColumns count="2">
    <tableColumn id="1" xr3:uid="{DC63911E-DAAE-4B71-AF51-FA08760A77BB}" name="N°"/>
    <tableColumn id="2" xr3:uid="{55C67957-3D78-4A23-87F6-B1652EAE0B99}" name="Nome"/>
  </tableColumns>
  <tableStyleInfo name="TableStyleLight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CFB18A-E6EE-4C31-9781-E8E7D113C7F2}" name="Tabella16a3" displayName="Tabella16a3" ref="D5:E37" totalsRowShown="0">
  <tableColumns count="2">
    <tableColumn id="1" xr3:uid="{3F1C0AAE-3BC6-41AC-8B24-1705C292A332}" name="N°"/>
    <tableColumn id="2" xr3:uid="{2BF17D09-ECBB-45D8-9B87-C81E1F41FB91}" name="Nome" dataDxfId="3"/>
  </tableColumns>
  <tableStyleInfo name="TableStyleLight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5D0A1-70AE-490F-9D77-7FE57EAAEEBF}" name="Tabella16b4" displayName="Tabella16b4" ref="G5:H15" totalsRowShown="0">
  <autoFilter ref="G5:H15" xr:uid="{82B01126-7E2E-468A-8DC8-2A6B86800363}"/>
  <tableColumns count="2">
    <tableColumn id="1" xr3:uid="{DD526EBF-DF45-4A1F-B199-E50429C44D6A}" name="N°"/>
    <tableColumn id="2" xr3:uid="{ABCD880B-8151-4DDD-9EAE-8700D2043237}" name="Nome"/>
  </tableColumns>
  <tableStyleInfo name="TableStyleLight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1E640B-2C2F-49CF-BF7B-F8CFE85863E3}" name="Tabella16a35" displayName="Tabella16a35" ref="D5:E37" totalsRowShown="0">
  <tableColumns count="2">
    <tableColumn id="1" xr3:uid="{F020D551-7767-49E0-B343-0403905D7290}" name="N°"/>
    <tableColumn id="2" xr3:uid="{00CC1AD2-3492-4FDE-B370-CF1CA7D99754}" name="Nome" dataDxfId="2"/>
  </tableColumns>
  <tableStyleInfo name="TableStyleLight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EFA6CE-728D-4D50-8E43-C40C96993B36}" name="Tabella16b47" displayName="Tabella16b47" ref="G5:H15" totalsRowShown="0">
  <autoFilter ref="G5:H15" xr:uid="{82B01126-7E2E-468A-8DC8-2A6B86800363}"/>
  <tableColumns count="2">
    <tableColumn id="1" xr3:uid="{FC015455-00DD-418C-A465-D95079A28143}" name="N°"/>
    <tableColumn id="2" xr3:uid="{4EA9910B-A5C9-4DE7-879F-912FC72B2311}" name="Nome"/>
  </tableColumns>
  <tableStyleInfo name="TableStyleLight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8CE5CE-8692-469C-ABED-9288D0642841}" name="Tabella16a358" displayName="Tabella16a358" ref="D5:E37" totalsRowShown="0">
  <tableColumns count="2">
    <tableColumn id="1" xr3:uid="{4BB386D2-31E0-4435-B112-BE2071C4364D}" name="N°"/>
    <tableColumn id="2" xr3:uid="{0083F35F-DFAE-4BEF-9F78-514E42E4373D}" name="Nome" dataDxfId="1"/>
  </tableColumns>
  <tableStyleInfo name="TableStyleLight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66DF29-F14E-4BFD-9509-D14C5BEDC331}" name="Tabella16b479" displayName="Tabella16b479" ref="G5:H15" totalsRowShown="0">
  <autoFilter ref="G5:H15" xr:uid="{82B01126-7E2E-468A-8DC8-2A6B86800363}"/>
  <tableColumns count="2">
    <tableColumn id="1" xr3:uid="{CA17DC72-B597-4551-BF76-F1006C8C4DE8}" name="N°"/>
    <tableColumn id="2" xr3:uid="{3AC9CD2F-3DE6-464A-BCD1-702961C9FACB}" name="Nome"/>
  </tableColumns>
  <tableStyleInfo name="TableStyleLight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72AC54-F0E4-484E-81AC-A1911D3BA36A}" name="Tabella16a35810" displayName="Tabella16a35810" ref="D5:E37" totalsRowShown="0">
  <tableColumns count="2">
    <tableColumn id="1" xr3:uid="{DB73DDF7-270C-4BCD-94B3-5C23C8E37202}" name="N°"/>
    <tableColumn id="2" xr3:uid="{47C32958-D283-4F25-B698-B6272B0DE8B8}" name="Nome" dataDxfId="0"/>
  </tableColumns>
  <tableStyleInfo name="TableStyleLight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CCC7084-6861-453F-BD3F-19E383A9FD1C}" name="Tabella16b47945" displayName="Tabella16b47945" ref="G5:H15" totalsRowShown="0">
  <autoFilter ref="G5:H15" xr:uid="{82B01126-7E2E-468A-8DC8-2A6B86800363}"/>
  <tableColumns count="2">
    <tableColumn id="1" xr3:uid="{E931A983-F250-4043-865A-630D902BDDEA}" name="N°"/>
    <tableColumn id="2" xr3:uid="{970AC976-9B20-4ACF-B65E-CF8088069F4C}" name="Nom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3E46-8D0D-4365-856D-1A7E6C1C106F}">
  <dimension ref="A1:Q26"/>
  <sheetViews>
    <sheetView tabSelected="1" workbookViewId="0">
      <selection activeCell="E4" sqref="E4:G26"/>
    </sheetView>
  </sheetViews>
  <sheetFormatPr defaultRowHeight="15" x14ac:dyDescent="0.25"/>
  <cols>
    <col min="1" max="1" width="11.140625" bestFit="1" customWidth="1"/>
    <col min="2" max="2" width="14.28515625" customWidth="1"/>
    <col min="3" max="3" width="30.7109375" customWidth="1"/>
    <col min="5" max="5" width="11.42578125" customWidth="1"/>
    <col min="6" max="6" width="5.42578125" bestFit="1" customWidth="1"/>
    <col min="7" max="7" width="36.7109375" customWidth="1"/>
    <col min="8" max="8" width="3.7109375" customWidth="1"/>
    <col min="9" max="9" width="11.42578125" customWidth="1"/>
    <col min="10" max="10" width="5.42578125" bestFit="1" customWidth="1"/>
    <col min="11" max="11" width="36.7109375" customWidth="1"/>
    <col min="12" max="12" width="4.5703125" customWidth="1"/>
    <col min="14" max="14" width="36" bestFit="1" customWidth="1"/>
    <col min="15" max="15" width="4.5703125" customWidth="1"/>
    <col min="17" max="17" width="36" bestFit="1" customWidth="1"/>
  </cols>
  <sheetData>
    <row r="1" spans="1:17" ht="52.5" customHeight="1" x14ac:dyDescent="0.25">
      <c r="A1" s="25" t="s">
        <v>83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7" ht="15.75" customHeight="1" x14ac:dyDescent="0.4">
      <c r="A2" s="6"/>
      <c r="B2" s="6"/>
      <c r="C2" s="6"/>
      <c r="D2" s="6"/>
    </row>
    <row r="3" spans="1:17" ht="25.5" customHeight="1" x14ac:dyDescent="0.25">
      <c r="A3" s="26" t="s">
        <v>82</v>
      </c>
      <c r="B3" s="26"/>
      <c r="C3" s="26"/>
      <c r="D3" s="12"/>
      <c r="E3" s="26" t="s">
        <v>81</v>
      </c>
      <c r="F3" s="26"/>
      <c r="G3" s="26"/>
      <c r="H3" s="26"/>
      <c r="I3" s="26"/>
      <c r="J3" s="26"/>
      <c r="K3" s="26"/>
    </row>
    <row r="4" spans="1:17" x14ac:dyDescent="0.25">
      <c r="A4" s="19" t="s">
        <v>68</v>
      </c>
      <c r="B4" s="14" t="s">
        <v>80</v>
      </c>
      <c r="C4" s="14">
        <v>425</v>
      </c>
      <c r="E4" t="s">
        <v>51</v>
      </c>
      <c r="F4" t="s">
        <v>4</v>
      </c>
      <c r="G4" t="s">
        <v>79</v>
      </c>
      <c r="I4" t="s">
        <v>51</v>
      </c>
      <c r="J4" t="s">
        <v>4</v>
      </c>
      <c r="K4" t="s">
        <v>79</v>
      </c>
      <c r="M4" s="7" t="s">
        <v>4</v>
      </c>
      <c r="N4" s="8" t="s">
        <v>79</v>
      </c>
      <c r="P4" s="23" t="s">
        <v>4</v>
      </c>
      <c r="Q4" s="23" t="s">
        <v>79</v>
      </c>
    </row>
    <row r="5" spans="1:17" x14ac:dyDescent="0.25">
      <c r="A5" s="19" t="s">
        <v>68</v>
      </c>
      <c r="B5" s="14" t="s">
        <v>78</v>
      </c>
      <c r="C5" s="15">
        <v>46246</v>
      </c>
      <c r="E5" s="18" t="s">
        <v>77</v>
      </c>
      <c r="G5" s="13" t="s">
        <v>56</v>
      </c>
      <c r="I5" s="18" t="s">
        <v>76</v>
      </c>
      <c r="K5" s="13" t="s">
        <v>31</v>
      </c>
      <c r="M5" s="9"/>
      <c r="N5" s="20" t="s">
        <v>56</v>
      </c>
      <c r="P5" s="9"/>
      <c r="Q5" s="4" t="s">
        <v>31</v>
      </c>
    </row>
    <row r="6" spans="1:17" x14ac:dyDescent="0.25">
      <c r="A6" s="19" t="s">
        <v>68</v>
      </c>
      <c r="B6" s="14" t="s">
        <v>75</v>
      </c>
      <c r="C6" s="16">
        <v>0.5</v>
      </c>
      <c r="E6" s="18" t="s">
        <v>57</v>
      </c>
      <c r="F6">
        <v>4</v>
      </c>
      <c r="G6" t="s">
        <v>12</v>
      </c>
      <c r="I6" s="18" t="s">
        <v>59</v>
      </c>
      <c r="J6">
        <v>1</v>
      </c>
      <c r="K6" t="s">
        <v>32</v>
      </c>
      <c r="M6" s="9">
        <v>4</v>
      </c>
      <c r="N6" s="10" t="s">
        <v>12</v>
      </c>
      <c r="P6" s="9">
        <v>1</v>
      </c>
      <c r="Q6" t="s">
        <v>32</v>
      </c>
    </row>
    <row r="7" spans="1:17" x14ac:dyDescent="0.25">
      <c r="A7" s="19" t="s">
        <v>68</v>
      </c>
      <c r="B7" s="14" t="s">
        <v>74</v>
      </c>
      <c r="C7" s="14" t="s">
        <v>73</v>
      </c>
      <c r="E7" s="18" t="s">
        <v>57</v>
      </c>
      <c r="F7">
        <v>7</v>
      </c>
      <c r="G7" t="s">
        <v>13</v>
      </c>
      <c r="I7" s="18" t="s">
        <v>59</v>
      </c>
      <c r="J7">
        <v>25</v>
      </c>
      <c r="K7" t="s">
        <v>33</v>
      </c>
      <c r="M7" s="9">
        <v>7</v>
      </c>
      <c r="N7" s="10" t="s">
        <v>13</v>
      </c>
      <c r="P7" s="9">
        <v>25</v>
      </c>
      <c r="Q7" t="s">
        <v>33</v>
      </c>
    </row>
    <row r="8" spans="1:17" x14ac:dyDescent="0.25">
      <c r="A8" s="19" t="s">
        <v>68</v>
      </c>
      <c r="B8" s="14" t="s">
        <v>72</v>
      </c>
      <c r="C8" s="14" t="s">
        <v>71</v>
      </c>
      <c r="E8" s="18" t="s">
        <v>57</v>
      </c>
      <c r="F8">
        <v>8</v>
      </c>
      <c r="G8" t="s">
        <v>14</v>
      </c>
      <c r="I8" s="18" t="s">
        <v>59</v>
      </c>
      <c r="J8">
        <v>27</v>
      </c>
      <c r="K8" t="s">
        <v>34</v>
      </c>
      <c r="M8" s="9">
        <v>8</v>
      </c>
      <c r="N8" s="10" t="s">
        <v>14</v>
      </c>
      <c r="P8" s="9">
        <v>27</v>
      </c>
      <c r="Q8" t="s">
        <v>34</v>
      </c>
    </row>
    <row r="9" spans="1:17" x14ac:dyDescent="0.25">
      <c r="A9" s="19" t="s">
        <v>68</v>
      </c>
      <c r="B9" s="14" t="s">
        <v>70</v>
      </c>
      <c r="C9" s="14" t="s">
        <v>69</v>
      </c>
      <c r="E9" s="18" t="s">
        <v>57</v>
      </c>
      <c r="F9">
        <v>9</v>
      </c>
      <c r="G9" t="s">
        <v>15</v>
      </c>
      <c r="I9" s="18" t="s">
        <v>59</v>
      </c>
      <c r="J9">
        <v>45</v>
      </c>
      <c r="K9" t="s">
        <v>35</v>
      </c>
      <c r="M9" s="9">
        <v>9</v>
      </c>
      <c r="N9" s="10" t="s">
        <v>15</v>
      </c>
      <c r="P9" s="9">
        <v>45</v>
      </c>
      <c r="Q9" t="s">
        <v>35</v>
      </c>
    </row>
    <row r="10" spans="1:17" x14ac:dyDescent="0.25">
      <c r="A10" s="19" t="s">
        <v>68</v>
      </c>
      <c r="B10" s="14" t="s">
        <v>67</v>
      </c>
      <c r="C10" s="17" t="s">
        <v>66</v>
      </c>
      <c r="E10" s="18" t="s">
        <v>57</v>
      </c>
      <c r="F10">
        <v>12</v>
      </c>
      <c r="G10" t="s">
        <v>16</v>
      </c>
      <c r="I10" s="18" t="s">
        <v>59</v>
      </c>
      <c r="J10">
        <v>99</v>
      </c>
      <c r="K10" t="s">
        <v>36</v>
      </c>
      <c r="M10" s="9">
        <v>12</v>
      </c>
      <c r="N10" s="10" t="s">
        <v>16</v>
      </c>
      <c r="P10" s="9">
        <v>99</v>
      </c>
      <c r="Q10" t="s">
        <v>36</v>
      </c>
    </row>
    <row r="11" spans="1:17" x14ac:dyDescent="0.25">
      <c r="A11" s="19"/>
      <c r="B11" s="14"/>
      <c r="C11" s="14"/>
      <c r="E11" s="18" t="s">
        <v>57</v>
      </c>
      <c r="F11">
        <v>14</v>
      </c>
      <c r="G11" t="s">
        <v>17</v>
      </c>
      <c r="I11" s="18" t="s">
        <v>59</v>
      </c>
      <c r="J11">
        <v>6</v>
      </c>
      <c r="K11" t="s">
        <v>37</v>
      </c>
      <c r="M11" s="9">
        <v>14</v>
      </c>
      <c r="N11" s="10" t="s">
        <v>17</v>
      </c>
      <c r="P11" s="9">
        <v>6</v>
      </c>
      <c r="Q11" t="s">
        <v>37</v>
      </c>
    </row>
    <row r="12" spans="1:17" x14ac:dyDescent="0.25">
      <c r="A12" s="19" t="s">
        <v>62</v>
      </c>
      <c r="B12" s="14" t="s">
        <v>65</v>
      </c>
      <c r="C12" s="14" t="s">
        <v>84</v>
      </c>
      <c r="E12" s="18" t="s">
        <v>57</v>
      </c>
      <c r="F12">
        <v>18</v>
      </c>
      <c r="G12" t="s">
        <v>18</v>
      </c>
      <c r="I12" s="18" t="s">
        <v>59</v>
      </c>
      <c r="J12">
        <v>7</v>
      </c>
      <c r="K12" t="s">
        <v>38</v>
      </c>
      <c r="M12" s="9">
        <v>18</v>
      </c>
      <c r="N12" s="10" t="s">
        <v>18</v>
      </c>
      <c r="P12" s="9">
        <v>7</v>
      </c>
      <c r="Q12" t="s">
        <v>38</v>
      </c>
    </row>
    <row r="13" spans="1:17" x14ac:dyDescent="0.25">
      <c r="A13" s="19" t="s">
        <v>62</v>
      </c>
      <c r="B13" s="14" t="s">
        <v>64</v>
      </c>
      <c r="C13" s="14" t="s">
        <v>85</v>
      </c>
      <c r="E13" s="18" t="s">
        <v>57</v>
      </c>
      <c r="F13">
        <v>21</v>
      </c>
      <c r="G13" t="s">
        <v>19</v>
      </c>
      <c r="I13" s="18" t="s">
        <v>59</v>
      </c>
      <c r="J13">
        <v>81</v>
      </c>
      <c r="K13" t="s">
        <v>39</v>
      </c>
      <c r="M13" s="9">
        <v>21</v>
      </c>
      <c r="N13" s="10" t="s">
        <v>19</v>
      </c>
      <c r="P13" s="9">
        <v>81</v>
      </c>
      <c r="Q13" t="s">
        <v>39</v>
      </c>
    </row>
    <row r="14" spans="1:17" x14ac:dyDescent="0.25">
      <c r="A14" s="19" t="s">
        <v>62</v>
      </c>
      <c r="B14" s="14" t="s">
        <v>63</v>
      </c>
      <c r="C14" s="14" t="s">
        <v>86</v>
      </c>
      <c r="E14" s="18" t="s">
        <v>57</v>
      </c>
      <c r="F14">
        <v>33</v>
      </c>
      <c r="G14" t="s">
        <v>27</v>
      </c>
      <c r="I14" s="18" t="s">
        <v>59</v>
      </c>
      <c r="J14">
        <v>14</v>
      </c>
      <c r="K14" t="s">
        <v>40</v>
      </c>
      <c r="M14" s="9">
        <v>33</v>
      </c>
      <c r="N14" s="10" t="s">
        <v>27</v>
      </c>
      <c r="P14" s="9">
        <v>14</v>
      </c>
      <c r="Q14" t="s">
        <v>40</v>
      </c>
    </row>
    <row r="15" spans="1:17" x14ac:dyDescent="0.25">
      <c r="A15" s="19" t="s">
        <v>62</v>
      </c>
      <c r="B15" s="14" t="s">
        <v>61</v>
      </c>
      <c r="C15" s="14"/>
      <c r="E15" s="18" t="s">
        <v>57</v>
      </c>
      <c r="F15">
        <v>71</v>
      </c>
      <c r="G15" t="s">
        <v>28</v>
      </c>
      <c r="I15" s="18" t="s">
        <v>59</v>
      </c>
      <c r="J15">
        <v>15</v>
      </c>
      <c r="K15" t="s">
        <v>41</v>
      </c>
      <c r="M15" s="9">
        <v>71</v>
      </c>
      <c r="N15" s="10" t="s">
        <v>28</v>
      </c>
      <c r="P15" s="9">
        <v>15</v>
      </c>
      <c r="Q15" t="s">
        <v>41</v>
      </c>
    </row>
    <row r="16" spans="1:17" x14ac:dyDescent="0.25">
      <c r="E16" s="18" t="s">
        <v>57</v>
      </c>
      <c r="F16">
        <v>32</v>
      </c>
      <c r="G16" t="s">
        <v>29</v>
      </c>
      <c r="I16" s="18" t="s">
        <v>59</v>
      </c>
      <c r="J16">
        <v>33</v>
      </c>
      <c r="K16" t="s">
        <v>42</v>
      </c>
      <c r="M16" s="9">
        <v>32</v>
      </c>
      <c r="N16" s="10" t="s">
        <v>29</v>
      </c>
      <c r="P16" s="9">
        <v>33</v>
      </c>
      <c r="Q16" t="s">
        <v>42</v>
      </c>
    </row>
    <row r="17" spans="5:17" x14ac:dyDescent="0.25">
      <c r="E17" s="18" t="s">
        <v>57</v>
      </c>
      <c r="F17">
        <v>54</v>
      </c>
      <c r="G17" t="s">
        <v>30</v>
      </c>
      <c r="I17" s="18" t="s">
        <v>59</v>
      </c>
      <c r="J17">
        <v>74</v>
      </c>
      <c r="K17" t="s">
        <v>43</v>
      </c>
      <c r="M17" s="9">
        <v>54</v>
      </c>
      <c r="N17" s="10" t="s">
        <v>30</v>
      </c>
      <c r="P17" s="9">
        <v>74</v>
      </c>
      <c r="Q17" t="s">
        <v>43</v>
      </c>
    </row>
    <row r="18" spans="5:17" x14ac:dyDescent="0.25">
      <c r="E18" s="18" t="s">
        <v>57</v>
      </c>
      <c r="F18">
        <v>20</v>
      </c>
      <c r="G18" t="s">
        <v>53</v>
      </c>
      <c r="I18" s="18" t="s">
        <v>59</v>
      </c>
      <c r="J18">
        <v>48</v>
      </c>
      <c r="K18" t="s">
        <v>44</v>
      </c>
      <c r="M18" s="9">
        <v>20</v>
      </c>
      <c r="N18" s="10" t="s">
        <v>53</v>
      </c>
      <c r="P18" s="9">
        <v>48</v>
      </c>
      <c r="Q18" t="s">
        <v>44</v>
      </c>
    </row>
    <row r="19" spans="5:17" x14ac:dyDescent="0.25">
      <c r="E19" s="18" t="s">
        <v>57</v>
      </c>
      <c r="F19">
        <v>1</v>
      </c>
      <c r="G19" t="s">
        <v>54</v>
      </c>
      <c r="I19" s="18" t="s">
        <v>59</v>
      </c>
      <c r="J19">
        <v>78</v>
      </c>
      <c r="K19" t="s">
        <v>45</v>
      </c>
      <c r="M19" s="9">
        <v>1</v>
      </c>
      <c r="N19" s="10" t="s">
        <v>54</v>
      </c>
      <c r="P19" s="9">
        <v>78</v>
      </c>
      <c r="Q19" t="s">
        <v>45</v>
      </c>
    </row>
    <row r="20" spans="5:17" x14ac:dyDescent="0.25">
      <c r="E20" s="18" t="s">
        <v>57</v>
      </c>
      <c r="F20">
        <v>99</v>
      </c>
      <c r="G20" t="s">
        <v>55</v>
      </c>
      <c r="I20" s="18" t="s">
        <v>59</v>
      </c>
      <c r="J20">
        <v>35</v>
      </c>
      <c r="K20" t="s">
        <v>46</v>
      </c>
      <c r="M20" s="9">
        <v>99</v>
      </c>
      <c r="N20" s="10" t="s">
        <v>55</v>
      </c>
      <c r="P20" s="9">
        <v>35</v>
      </c>
      <c r="Q20" t="s">
        <v>46</v>
      </c>
    </row>
    <row r="21" spans="5:17" x14ac:dyDescent="0.25">
      <c r="E21" s="18" t="s">
        <v>57</v>
      </c>
      <c r="F21">
        <v>10</v>
      </c>
      <c r="G21" t="s">
        <v>52</v>
      </c>
      <c r="I21" s="18" t="s">
        <v>59</v>
      </c>
      <c r="K21" t="s">
        <v>47</v>
      </c>
      <c r="M21" s="9">
        <v>10</v>
      </c>
      <c r="N21" s="10" t="s">
        <v>52</v>
      </c>
      <c r="P21" s="9">
        <v>27</v>
      </c>
      <c r="Q21" t="s">
        <v>47</v>
      </c>
    </row>
    <row r="22" spans="5:17" x14ac:dyDescent="0.25">
      <c r="E22" s="18" t="s">
        <v>58</v>
      </c>
      <c r="F22" s="13" t="s">
        <v>22</v>
      </c>
      <c r="G22" t="s">
        <v>7</v>
      </c>
      <c r="I22" s="18" t="s">
        <v>60</v>
      </c>
      <c r="J22" s="5" t="s">
        <v>22</v>
      </c>
      <c r="K22" t="s">
        <v>48</v>
      </c>
      <c r="M22" s="21" t="s">
        <v>22</v>
      </c>
      <c r="N22" s="10" t="s">
        <v>7</v>
      </c>
      <c r="P22" s="21" t="s">
        <v>22</v>
      </c>
      <c r="Q22" t="s">
        <v>48</v>
      </c>
    </row>
    <row r="23" spans="5:17" x14ac:dyDescent="0.25">
      <c r="E23" s="18" t="s">
        <v>58</v>
      </c>
      <c r="F23" s="13" t="s">
        <v>1</v>
      </c>
      <c r="G23" t="s">
        <v>8</v>
      </c>
      <c r="I23" s="18" t="s">
        <v>60</v>
      </c>
      <c r="J23" s="5" t="s">
        <v>1</v>
      </c>
      <c r="K23" t="s">
        <v>49</v>
      </c>
      <c r="M23" s="21" t="s">
        <v>1</v>
      </c>
      <c r="N23" s="10" t="s">
        <v>8</v>
      </c>
      <c r="P23" s="21" t="s">
        <v>1</v>
      </c>
      <c r="Q23" t="s">
        <v>49</v>
      </c>
    </row>
    <row r="24" spans="5:17" x14ac:dyDescent="0.25">
      <c r="E24" s="18" t="s">
        <v>58</v>
      </c>
      <c r="F24" s="13" t="s">
        <v>2</v>
      </c>
      <c r="G24" t="s">
        <v>9</v>
      </c>
      <c r="I24" s="18" t="s">
        <v>60</v>
      </c>
      <c r="J24" s="5" t="s">
        <v>2</v>
      </c>
      <c r="K24" t="s">
        <v>50</v>
      </c>
      <c r="M24" s="21" t="s">
        <v>2</v>
      </c>
      <c r="N24" s="10" t="s">
        <v>9</v>
      </c>
      <c r="P24" s="21" t="s">
        <v>2</v>
      </c>
      <c r="Q24" t="s">
        <v>50</v>
      </c>
    </row>
    <row r="25" spans="5:17" x14ac:dyDescent="0.25">
      <c r="E25" s="18" t="s">
        <v>58</v>
      </c>
      <c r="F25" s="13" t="s">
        <v>23</v>
      </c>
      <c r="G25" t="s">
        <v>10</v>
      </c>
      <c r="I25" s="18" t="s">
        <v>60</v>
      </c>
      <c r="J25" s="5" t="s">
        <v>23</v>
      </c>
      <c r="M25" s="21" t="s">
        <v>23</v>
      </c>
      <c r="N25" s="10" t="s">
        <v>10</v>
      </c>
      <c r="P25" s="21" t="s">
        <v>23</v>
      </c>
    </row>
    <row r="26" spans="5:17" x14ac:dyDescent="0.25">
      <c r="E26" s="18" t="s">
        <v>58</v>
      </c>
      <c r="F26" s="13" t="s">
        <v>3</v>
      </c>
      <c r="G26" t="s">
        <v>11</v>
      </c>
      <c r="I26" s="18" t="s">
        <v>60</v>
      </c>
      <c r="J26" s="5" t="s">
        <v>3</v>
      </c>
      <c r="M26" s="22" t="s">
        <v>3</v>
      </c>
      <c r="N26" s="11" t="s">
        <v>11</v>
      </c>
      <c r="P26" s="21" t="s">
        <v>3</v>
      </c>
    </row>
  </sheetData>
  <mergeCells count="3">
    <mergeCell ref="A1:K1"/>
    <mergeCell ref="E3:K3"/>
    <mergeCell ref="A3:C3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9F97-0D17-4732-84B1-622E439C6D90}">
  <dimension ref="B2:P41"/>
  <sheetViews>
    <sheetView workbookViewId="0">
      <selection activeCell="P19" sqref="P19"/>
    </sheetView>
  </sheetViews>
  <sheetFormatPr defaultRowHeight="15" x14ac:dyDescent="0.25"/>
  <cols>
    <col min="2" max="2" width="3.7109375" customWidth="1"/>
    <col min="3" max="3" width="35.7109375" style="24" customWidth="1"/>
    <col min="4" max="4" width="4.7109375" customWidth="1"/>
    <col min="5" max="5" width="3.7109375" customWidth="1"/>
    <col min="6" max="6" width="35.7109375" customWidth="1"/>
    <col min="7" max="13" width="4.7109375" customWidth="1"/>
    <col min="14" max="14" width="14.85546875" customWidth="1"/>
    <col min="15" max="15" width="4.140625" customWidth="1"/>
    <col min="16" max="16" width="36" bestFit="1" customWidth="1"/>
  </cols>
  <sheetData>
    <row r="2" spans="2:16" x14ac:dyDescent="0.25">
      <c r="D2" s="3"/>
      <c r="H2" s="3"/>
      <c r="I2" s="1"/>
      <c r="L2" s="3"/>
      <c r="N2" s="27"/>
      <c r="O2" s="27"/>
      <c r="P2" s="27"/>
    </row>
    <row r="4" spans="2:16" ht="15.75" thickBot="1" x14ac:dyDescent="0.3">
      <c r="N4" t="s">
        <v>51</v>
      </c>
      <c r="O4" t="s">
        <v>4</v>
      </c>
      <c r="P4" t="s">
        <v>79</v>
      </c>
    </row>
    <row r="5" spans="2:16" ht="21.75" thickTop="1" x14ac:dyDescent="0.25">
      <c r="B5" s="30"/>
      <c r="C5" s="31" t="s">
        <v>842</v>
      </c>
      <c r="F5" s="29" t="s">
        <v>843</v>
      </c>
      <c r="N5" s="18" t="s">
        <v>77</v>
      </c>
      <c r="P5" s="13"/>
    </row>
    <row r="6" spans="2:16" x14ac:dyDescent="0.25">
      <c r="B6" s="34">
        <v>1</v>
      </c>
      <c r="C6" s="35" t="s">
        <v>87</v>
      </c>
      <c r="E6" s="28">
        <v>15</v>
      </c>
      <c r="N6" s="18" t="s">
        <v>57</v>
      </c>
    </row>
    <row r="7" spans="2:16" x14ac:dyDescent="0.25">
      <c r="B7" s="34">
        <v>2</v>
      </c>
      <c r="C7" s="35" t="s">
        <v>88</v>
      </c>
      <c r="E7" s="28">
        <v>16</v>
      </c>
      <c r="N7" s="18" t="s">
        <v>57</v>
      </c>
    </row>
    <row r="8" spans="2:16" x14ac:dyDescent="0.25">
      <c r="B8" s="34">
        <v>3</v>
      </c>
      <c r="C8" s="35" t="s">
        <v>89</v>
      </c>
      <c r="E8" s="28">
        <v>17</v>
      </c>
      <c r="N8" s="18" t="s">
        <v>57</v>
      </c>
    </row>
    <row r="9" spans="2:16" x14ac:dyDescent="0.25">
      <c r="B9" s="34">
        <v>4</v>
      </c>
      <c r="C9" s="35" t="s">
        <v>90</v>
      </c>
      <c r="E9" s="28">
        <v>18</v>
      </c>
      <c r="N9" s="18" t="s">
        <v>57</v>
      </c>
    </row>
    <row r="10" spans="2:16" x14ac:dyDescent="0.25">
      <c r="B10" s="34">
        <v>5</v>
      </c>
      <c r="C10" s="35" t="s">
        <v>91</v>
      </c>
      <c r="E10" s="28">
        <v>19</v>
      </c>
      <c r="N10" s="18" t="s">
        <v>57</v>
      </c>
    </row>
    <row r="11" spans="2:16" x14ac:dyDescent="0.25">
      <c r="B11" s="34">
        <v>6</v>
      </c>
      <c r="C11" s="35" t="s">
        <v>92</v>
      </c>
      <c r="E11" s="28">
        <v>20</v>
      </c>
      <c r="N11" s="18" t="s">
        <v>57</v>
      </c>
    </row>
    <row r="12" spans="2:16" x14ac:dyDescent="0.25">
      <c r="B12" s="34">
        <v>7</v>
      </c>
      <c r="C12" s="35" t="s">
        <v>93</v>
      </c>
      <c r="E12">
        <v>21</v>
      </c>
      <c r="N12" s="18" t="s">
        <v>57</v>
      </c>
    </row>
    <row r="13" spans="2:16" x14ac:dyDescent="0.25">
      <c r="B13" s="34">
        <v>8</v>
      </c>
      <c r="C13" s="35" t="s">
        <v>94</v>
      </c>
      <c r="E13">
        <v>22</v>
      </c>
      <c r="N13" s="18" t="s">
        <v>57</v>
      </c>
    </row>
    <row r="14" spans="2:16" x14ac:dyDescent="0.25">
      <c r="B14" s="34">
        <v>9</v>
      </c>
      <c r="C14" s="35" t="s">
        <v>95</v>
      </c>
      <c r="E14">
        <v>23</v>
      </c>
      <c r="N14" s="18" t="s">
        <v>57</v>
      </c>
    </row>
    <row r="15" spans="2:16" x14ac:dyDescent="0.25">
      <c r="B15" s="34">
        <v>10</v>
      </c>
      <c r="C15" s="35" t="s">
        <v>96</v>
      </c>
      <c r="E15">
        <v>24</v>
      </c>
      <c r="N15" s="18" t="s">
        <v>57</v>
      </c>
    </row>
    <row r="16" spans="2:16" x14ac:dyDescent="0.25">
      <c r="B16" s="34">
        <v>11</v>
      </c>
      <c r="C16" s="35" t="s">
        <v>97</v>
      </c>
      <c r="E16">
        <v>25</v>
      </c>
      <c r="N16" s="18" t="s">
        <v>57</v>
      </c>
    </row>
    <row r="17" spans="2:15" x14ac:dyDescent="0.25">
      <c r="B17" s="34">
        <v>12</v>
      </c>
      <c r="C17" s="35" t="s">
        <v>98</v>
      </c>
      <c r="E17">
        <v>26</v>
      </c>
      <c r="N17" s="18" t="s">
        <v>57</v>
      </c>
    </row>
    <row r="18" spans="2:15" x14ac:dyDescent="0.25">
      <c r="B18" s="34">
        <v>13</v>
      </c>
      <c r="C18" s="35" t="s">
        <v>99</v>
      </c>
      <c r="E18">
        <v>27</v>
      </c>
      <c r="N18" s="18" t="s">
        <v>57</v>
      </c>
    </row>
    <row r="19" spans="2:15" ht="15.75" thickBot="1" x14ac:dyDescent="0.3">
      <c r="B19" s="32">
        <v>14</v>
      </c>
      <c r="C19" s="33" t="s">
        <v>100</v>
      </c>
      <c r="E19">
        <v>28</v>
      </c>
      <c r="N19" s="18" t="s">
        <v>57</v>
      </c>
    </row>
    <row r="20" spans="2:15" ht="15.75" thickTop="1" x14ac:dyDescent="0.25">
      <c r="N20" s="18" t="s">
        <v>57</v>
      </c>
    </row>
    <row r="21" spans="2:15" x14ac:dyDescent="0.25">
      <c r="N21" s="18" t="s">
        <v>57</v>
      </c>
    </row>
    <row r="22" spans="2:15" x14ac:dyDescent="0.25">
      <c r="N22" s="18" t="s">
        <v>58</v>
      </c>
      <c r="O22" s="13"/>
    </row>
    <row r="23" spans="2:15" x14ac:dyDescent="0.25">
      <c r="N23" s="18" t="s">
        <v>58</v>
      </c>
      <c r="O23" s="13"/>
    </row>
    <row r="24" spans="2:15" x14ac:dyDescent="0.25">
      <c r="N24" s="18" t="s">
        <v>58</v>
      </c>
      <c r="O24" s="13"/>
    </row>
    <row r="25" spans="2:15" x14ac:dyDescent="0.25">
      <c r="N25" s="18" t="s">
        <v>58</v>
      </c>
      <c r="O25" s="13"/>
    </row>
    <row r="26" spans="2:15" x14ac:dyDescent="0.25">
      <c r="N26" s="18" t="s">
        <v>58</v>
      </c>
      <c r="O26" s="13"/>
    </row>
    <row r="27" spans="2:15" x14ac:dyDescent="0.25">
      <c r="C27"/>
    </row>
    <row r="28" spans="2:15" x14ac:dyDescent="0.25">
      <c r="C28"/>
    </row>
    <row r="29" spans="2:15" x14ac:dyDescent="0.25">
      <c r="C29"/>
    </row>
    <row r="30" spans="2:15" x14ac:dyDescent="0.25">
      <c r="C30"/>
    </row>
    <row r="31" spans="2:15" x14ac:dyDescent="0.25">
      <c r="C31"/>
    </row>
    <row r="32" spans="2:1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</sheetData>
  <mergeCells count="1">
    <mergeCell ref="N2:P2"/>
  </mergeCells>
  <hyperlinks>
    <hyperlink ref="B6" location="'1'!A1" display="'1'!A1" xr:uid="{25D21234-D497-493E-90C3-6EFA9137525B}"/>
    <hyperlink ref="B7" location="'2'!A1" display="'2'!A1" xr:uid="{C9F7885E-BD67-4EE5-9310-CF09FF3C553C}"/>
    <hyperlink ref="B8" location="'3'!A1" display="'3'!A1" xr:uid="{69677663-0C59-453F-82D3-263C14774A41}"/>
    <hyperlink ref="B9" location="'4'!A1" display="'4'!A1" xr:uid="{A30432BC-D7DA-4406-83F0-032F8EC48BD8}"/>
    <hyperlink ref="B10" location="'5'!A1" display="'5'!A1" xr:uid="{F63E76CD-4A28-4E6C-B887-15062319B3B3}"/>
    <hyperlink ref="B11" location="'6'!A1" display="'6'!A1" xr:uid="{6AB32B04-5308-4805-AD3F-2FD354F6DD17}"/>
    <hyperlink ref="B12" location="'7'!A1" display="'7'!A1" xr:uid="{41B9B493-4318-492B-A059-E4A49C8CB9C4}"/>
    <hyperlink ref="B13" location="'8'!A1" display="'8'!A1" xr:uid="{47128EE2-5EC2-4E28-B5F4-B37708BEE747}"/>
    <hyperlink ref="B14" location="'9'!A1" display="'9'!A1" xr:uid="{040C8B22-AD3F-45B1-8938-D2F4388017CC}"/>
    <hyperlink ref="B15" location="'10'!A1" display="'10'!A1" xr:uid="{53C3D87F-C67D-437B-9E7F-CAC97359EC6C}"/>
    <hyperlink ref="B16" location="'11'!A1" display="'11'!A1" xr:uid="{F00579B8-CC5C-413A-8F4A-48FBC8202C87}"/>
    <hyperlink ref="B17" location="'12'!A1" display="'12'!A1" xr:uid="{0EC6EF4F-F319-49B2-89F1-DC6169930655}"/>
    <hyperlink ref="B18" location="'13'!A1" display="'13'!A1" xr:uid="{ADEA9974-850C-412A-AC2D-7AD46FE90F36}"/>
    <hyperlink ref="B19" location="'14'!A1" display="'14'!A1" xr:uid="{AAFDEC22-AF6F-4EBB-997E-EBF1B93B2979}"/>
    <hyperlink ref="E6" location="'15'!A1" display="'15'!A1" xr:uid="{5701641B-FE4E-4A09-A050-43902F76300E}"/>
    <hyperlink ref="E7" location="'16'!A1" display="'16'!A1" xr:uid="{910C78E6-AE82-4016-9507-E4A3F104566C}"/>
    <hyperlink ref="E8" location="'17'!A1" display="'17'!A1" xr:uid="{C40AC3BB-57C8-4402-BAB1-6FB25DF351D1}"/>
    <hyperlink ref="E9" location="'18'!A1" display="'18'!A1" xr:uid="{E5334695-A4D3-4876-AB9B-B5ADCBEEA7C0}"/>
    <hyperlink ref="E10" location="'19'!A1" display="'19'!A1" xr:uid="{6E7BABC6-15DC-46DC-BA75-9585B705545C}"/>
    <hyperlink ref="E11" location="'20'!A1" display="'20'!A1" xr:uid="{A3C94BEA-44CD-4228-8AAE-17F3B6318113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AC06-0881-44EA-9C17-0999AE38227E}">
  <dimension ref="D4:Q37"/>
  <sheetViews>
    <sheetView workbookViewId="0">
      <selection activeCell="B22" sqref="B2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19.85546875" bestFit="1" customWidth="1"/>
    <col min="13" max="13" width="18.140625" bestFit="1" customWidth="1"/>
    <col min="14" max="14" width="23.140625" bestFit="1" customWidth="1"/>
  </cols>
  <sheetData>
    <row r="4" spans="4:17" x14ac:dyDescent="0.25">
      <c r="E4" s="4" t="s">
        <v>20</v>
      </c>
    </row>
    <row r="5" spans="4:17" x14ac:dyDescent="0.25">
      <c r="D5" t="s">
        <v>4</v>
      </c>
      <c r="E5" t="s">
        <v>0</v>
      </c>
      <c r="G5" t="s">
        <v>4</v>
      </c>
      <c r="H5" t="s">
        <v>0</v>
      </c>
      <c r="K5" t="str">
        <f>N5&amp;" "&amp;M5</f>
        <v>Bernabei Nicole Elisa</v>
      </c>
      <c r="M5" t="s">
        <v>101</v>
      </c>
      <c r="N5" t="s">
        <v>102</v>
      </c>
      <c r="O5">
        <v>1997</v>
      </c>
      <c r="P5" t="s">
        <v>103</v>
      </c>
      <c r="Q5" t="s">
        <v>5</v>
      </c>
    </row>
    <row r="6" spans="4:17" x14ac:dyDescent="0.25">
      <c r="D6">
        <v>4</v>
      </c>
      <c r="E6" t="s">
        <v>168</v>
      </c>
      <c r="G6" t="s">
        <v>22</v>
      </c>
      <c r="K6" t="str">
        <f t="shared" ref="K6:K30" si="0">N6&amp;" "&amp;M6</f>
        <v>Cabral Barbosa Alexandrina</v>
      </c>
      <c r="M6" t="s">
        <v>104</v>
      </c>
      <c r="N6" t="s">
        <v>105</v>
      </c>
      <c r="O6">
        <v>1986</v>
      </c>
      <c r="P6" t="s">
        <v>106</v>
      </c>
      <c r="Q6" t="s">
        <v>5</v>
      </c>
    </row>
    <row r="7" spans="4:17" x14ac:dyDescent="0.25">
      <c r="D7">
        <v>7</v>
      </c>
      <c r="E7" t="s">
        <v>169</v>
      </c>
      <c r="G7" t="s">
        <v>1</v>
      </c>
      <c r="H7" t="s">
        <v>192</v>
      </c>
      <c r="K7" t="str">
        <f t="shared" si="0"/>
        <v>Cozzi Melina Ximena</v>
      </c>
      <c r="M7" t="s">
        <v>107</v>
      </c>
      <c r="N7" t="s">
        <v>108</v>
      </c>
      <c r="O7">
        <v>1987</v>
      </c>
      <c r="P7" t="s">
        <v>103</v>
      </c>
      <c r="Q7" t="s">
        <v>109</v>
      </c>
    </row>
    <row r="8" spans="4:17" x14ac:dyDescent="0.25">
      <c r="D8">
        <v>8</v>
      </c>
      <c r="E8" t="s">
        <v>170</v>
      </c>
      <c r="G8" t="s">
        <v>2</v>
      </c>
      <c r="H8" t="s">
        <v>9</v>
      </c>
      <c r="K8" t="str">
        <f t="shared" si="0"/>
        <v>Dalle Crode Lucia</v>
      </c>
      <c r="M8" t="s">
        <v>110</v>
      </c>
      <c r="N8" t="s">
        <v>111</v>
      </c>
      <c r="O8">
        <v>1998</v>
      </c>
      <c r="P8" t="s">
        <v>103</v>
      </c>
      <c r="Q8" t="s">
        <v>109</v>
      </c>
    </row>
    <row r="9" spans="4:17" x14ac:dyDescent="0.25">
      <c r="D9">
        <v>9</v>
      </c>
      <c r="E9" t="s">
        <v>171</v>
      </c>
      <c r="G9" t="s">
        <v>23</v>
      </c>
      <c r="H9" t="s">
        <v>10</v>
      </c>
      <c r="K9" t="str">
        <f t="shared" si="0"/>
        <v>De Marinis Maira</v>
      </c>
      <c r="M9" t="s">
        <v>112</v>
      </c>
      <c r="N9" t="s">
        <v>113</v>
      </c>
      <c r="O9">
        <v>2006</v>
      </c>
      <c r="P9" t="s">
        <v>103</v>
      </c>
      <c r="Q9" t="s">
        <v>6</v>
      </c>
    </row>
    <row r="10" spans="4:17" x14ac:dyDescent="0.25">
      <c r="D10">
        <v>12</v>
      </c>
      <c r="E10" t="s">
        <v>172</v>
      </c>
      <c r="G10" t="s">
        <v>3</v>
      </c>
      <c r="H10" t="s">
        <v>11</v>
      </c>
      <c r="K10" t="str">
        <f t="shared" si="0"/>
        <v>Di Prisco Francesca</v>
      </c>
      <c r="M10" t="s">
        <v>114</v>
      </c>
      <c r="N10" t="s">
        <v>115</v>
      </c>
      <c r="O10">
        <v>1997</v>
      </c>
      <c r="P10" t="s">
        <v>103</v>
      </c>
      <c r="Q10" t="s">
        <v>5</v>
      </c>
    </row>
    <row r="11" spans="4:17" x14ac:dyDescent="0.25">
      <c r="D11">
        <v>14</v>
      </c>
      <c r="E11" t="s">
        <v>173</v>
      </c>
      <c r="H11" t="s">
        <v>24</v>
      </c>
      <c r="K11" t="str">
        <f t="shared" si="0"/>
        <v>Do Nascimento Martinez Alexandra Priscila</v>
      </c>
      <c r="M11" t="s">
        <v>116</v>
      </c>
      <c r="N11" t="s">
        <v>117</v>
      </c>
      <c r="O11">
        <v>1981</v>
      </c>
      <c r="P11" t="s">
        <v>118</v>
      </c>
      <c r="Q11" t="s">
        <v>119</v>
      </c>
    </row>
    <row r="12" spans="4:17" x14ac:dyDescent="0.25">
      <c r="D12">
        <v>18</v>
      </c>
      <c r="E12" t="s">
        <v>174</v>
      </c>
      <c r="H12" t="s">
        <v>25</v>
      </c>
      <c r="K12" t="str">
        <f t="shared" si="0"/>
        <v>Fanton Irene</v>
      </c>
      <c r="M12" t="s">
        <v>120</v>
      </c>
      <c r="N12" t="s">
        <v>121</v>
      </c>
      <c r="O12">
        <v>1994</v>
      </c>
      <c r="P12" t="s">
        <v>103</v>
      </c>
      <c r="Q12" t="s">
        <v>5</v>
      </c>
    </row>
    <row r="13" spans="4:17" x14ac:dyDescent="0.25">
      <c r="D13">
        <v>21</v>
      </c>
      <c r="E13" t="s">
        <v>175</v>
      </c>
      <c r="H13" t="s">
        <v>26</v>
      </c>
      <c r="K13" t="str">
        <f t="shared" si="0"/>
        <v>Gandulfo Macarena</v>
      </c>
      <c r="M13" t="s">
        <v>122</v>
      </c>
      <c r="N13" t="s">
        <v>123</v>
      </c>
      <c r="O13">
        <v>1993</v>
      </c>
      <c r="P13" t="s">
        <v>103</v>
      </c>
      <c r="Q13" t="s">
        <v>124</v>
      </c>
    </row>
    <row r="14" spans="4:17" x14ac:dyDescent="0.25">
      <c r="E14" t="s">
        <v>176</v>
      </c>
      <c r="K14" t="str">
        <f t="shared" si="0"/>
        <v>Iacovello Martina</v>
      </c>
      <c r="M14" t="s">
        <v>125</v>
      </c>
      <c r="N14" t="s">
        <v>126</v>
      </c>
      <c r="O14">
        <v>1993</v>
      </c>
      <c r="P14" t="s">
        <v>103</v>
      </c>
      <c r="Q14" t="s">
        <v>6</v>
      </c>
    </row>
    <row r="15" spans="4:17" x14ac:dyDescent="0.25">
      <c r="E15" t="s">
        <v>177</v>
      </c>
      <c r="K15" t="str">
        <f t="shared" si="0"/>
        <v>Losio Giulia Teresa</v>
      </c>
      <c r="M15" t="s">
        <v>127</v>
      </c>
      <c r="N15" t="s">
        <v>128</v>
      </c>
      <c r="O15">
        <v>1997</v>
      </c>
      <c r="P15" t="s">
        <v>103</v>
      </c>
      <c r="Q15" t="s">
        <v>119</v>
      </c>
    </row>
    <row r="16" spans="4:17" x14ac:dyDescent="0.25">
      <c r="D16">
        <v>33</v>
      </c>
      <c r="E16" t="s">
        <v>178</v>
      </c>
      <c r="K16" t="str">
        <f t="shared" si="0"/>
        <v>Manojlovic Ramona Vesna</v>
      </c>
      <c r="M16" t="s">
        <v>129</v>
      </c>
      <c r="N16" t="s">
        <v>130</v>
      </c>
      <c r="O16">
        <v>2002</v>
      </c>
      <c r="P16" t="s">
        <v>103</v>
      </c>
      <c r="Q16" t="s">
        <v>131</v>
      </c>
    </row>
    <row r="17" spans="4:17" x14ac:dyDescent="0.25">
      <c r="D17">
        <v>71</v>
      </c>
      <c r="E17" t="s">
        <v>179</v>
      </c>
      <c r="K17" t="str">
        <f t="shared" si="0"/>
        <v>Martinez Bizzotto Valentina</v>
      </c>
      <c r="M17" t="s">
        <v>132</v>
      </c>
      <c r="N17" t="s">
        <v>133</v>
      </c>
      <c r="O17">
        <v>1998</v>
      </c>
      <c r="P17" t="s">
        <v>103</v>
      </c>
      <c r="Q17" t="s">
        <v>134</v>
      </c>
    </row>
    <row r="18" spans="4:17" x14ac:dyDescent="0.25">
      <c r="D18">
        <v>32</v>
      </c>
      <c r="E18" t="s">
        <v>180</v>
      </c>
      <c r="K18" t="str">
        <f t="shared" si="0"/>
        <v>Nilsen Silje</v>
      </c>
      <c r="M18" t="s">
        <v>135</v>
      </c>
      <c r="N18" t="s">
        <v>136</v>
      </c>
      <c r="O18">
        <v>2002</v>
      </c>
      <c r="P18" t="s">
        <v>137</v>
      </c>
      <c r="Q18" t="s">
        <v>138</v>
      </c>
    </row>
    <row r="19" spans="4:17" x14ac:dyDescent="0.25">
      <c r="D19">
        <v>54</v>
      </c>
      <c r="E19" t="s">
        <v>181</v>
      </c>
      <c r="K19" t="str">
        <f t="shared" si="0"/>
        <v>Pessoa Constantino Gabriela</v>
      </c>
      <c r="M19" t="s">
        <v>139</v>
      </c>
      <c r="N19" t="s">
        <v>140</v>
      </c>
      <c r="O19">
        <v>1994</v>
      </c>
      <c r="P19" t="s">
        <v>103</v>
      </c>
      <c r="Q19" t="s">
        <v>138</v>
      </c>
    </row>
    <row r="20" spans="4:17" x14ac:dyDescent="0.25">
      <c r="E20" t="s">
        <v>182</v>
      </c>
      <c r="K20" t="str">
        <f t="shared" si="0"/>
        <v>Priolo Chiara</v>
      </c>
      <c r="M20" t="s">
        <v>141</v>
      </c>
      <c r="N20" t="s">
        <v>142</v>
      </c>
      <c r="O20">
        <v>1994</v>
      </c>
      <c r="P20" t="s">
        <v>103</v>
      </c>
      <c r="Q20" t="s">
        <v>119</v>
      </c>
    </row>
    <row r="21" spans="4:17" x14ac:dyDescent="0.25">
      <c r="D21">
        <v>10</v>
      </c>
      <c r="E21" t="s">
        <v>183</v>
      </c>
      <c r="K21" t="str">
        <f t="shared" si="0"/>
        <v>Sablic Sara</v>
      </c>
      <c r="M21" t="s">
        <v>143</v>
      </c>
      <c r="N21" t="s">
        <v>144</v>
      </c>
      <c r="O21">
        <v>2000</v>
      </c>
      <c r="P21" t="s">
        <v>145</v>
      </c>
      <c r="Q21" t="s">
        <v>124</v>
      </c>
    </row>
    <row r="22" spans="4:17" x14ac:dyDescent="0.25">
      <c r="E22" t="s">
        <v>184</v>
      </c>
      <c r="K22" t="str">
        <f t="shared" si="0"/>
        <v>Severin Alexandra Ramona</v>
      </c>
      <c r="M22" t="s">
        <v>146</v>
      </c>
      <c r="N22" t="s">
        <v>147</v>
      </c>
      <c r="O22">
        <v>1998</v>
      </c>
      <c r="P22" t="s">
        <v>148</v>
      </c>
      <c r="Q22" t="s">
        <v>124</v>
      </c>
    </row>
    <row r="23" spans="4:17" x14ac:dyDescent="0.25">
      <c r="E23" t="s">
        <v>185</v>
      </c>
      <c r="K23" t="str">
        <f t="shared" si="0"/>
        <v>Tarbuch Marianela Pilar</v>
      </c>
      <c r="M23" t="s">
        <v>149</v>
      </c>
      <c r="N23" t="s">
        <v>150</v>
      </c>
      <c r="O23">
        <v>1990</v>
      </c>
      <c r="P23" t="s">
        <v>103</v>
      </c>
      <c r="Q23" t="s">
        <v>134</v>
      </c>
    </row>
    <row r="24" spans="4:17" x14ac:dyDescent="0.25">
      <c r="D24">
        <v>20</v>
      </c>
      <c r="E24" t="s">
        <v>186</v>
      </c>
      <c r="K24" t="str">
        <f t="shared" si="0"/>
        <v>Trayan Maryia</v>
      </c>
      <c r="M24" t="s">
        <v>151</v>
      </c>
      <c r="N24" t="s">
        <v>152</v>
      </c>
      <c r="O24">
        <v>2000</v>
      </c>
      <c r="P24" t="s">
        <v>153</v>
      </c>
      <c r="Q24" t="s">
        <v>6</v>
      </c>
    </row>
    <row r="25" spans="4:17" x14ac:dyDescent="0.25">
      <c r="D25">
        <v>1</v>
      </c>
      <c r="E25" t="s">
        <v>187</v>
      </c>
      <c r="K25" t="str">
        <f t="shared" si="0"/>
        <v>Zizzo Alessia</v>
      </c>
      <c r="M25" t="s">
        <v>154</v>
      </c>
      <c r="N25" t="s">
        <v>155</v>
      </c>
      <c r="O25">
        <v>2006</v>
      </c>
      <c r="P25" t="s">
        <v>103</v>
      </c>
      <c r="Q25" t="s">
        <v>109</v>
      </c>
    </row>
    <row r="26" spans="4:17" x14ac:dyDescent="0.25">
      <c r="D26">
        <v>99</v>
      </c>
      <c r="E26" t="s">
        <v>188</v>
      </c>
      <c r="K26" t="str">
        <f t="shared" si="0"/>
        <v>Kapitanovic Ivana</v>
      </c>
      <c r="M26" t="s">
        <v>156</v>
      </c>
      <c r="N26" t="s">
        <v>157</v>
      </c>
      <c r="O26">
        <v>1994</v>
      </c>
      <c r="P26" t="s">
        <v>145</v>
      </c>
      <c r="Q26" t="s">
        <v>6</v>
      </c>
    </row>
    <row r="27" spans="4:17" x14ac:dyDescent="0.25">
      <c r="E27" t="s">
        <v>189</v>
      </c>
      <c r="K27" t="str">
        <f t="shared" si="0"/>
        <v>Ahanda Orlane</v>
      </c>
      <c r="M27" t="s">
        <v>158</v>
      </c>
      <c r="N27" t="s">
        <v>159</v>
      </c>
      <c r="O27">
        <v>1998</v>
      </c>
      <c r="P27" t="s">
        <v>160</v>
      </c>
      <c r="Q27" t="s">
        <v>138</v>
      </c>
    </row>
    <row r="28" spans="4:17" x14ac:dyDescent="0.25">
      <c r="E28" t="s">
        <v>190</v>
      </c>
      <c r="K28" t="str">
        <f t="shared" si="0"/>
        <v>Niakate Kalidiatou</v>
      </c>
      <c r="M28" t="s">
        <v>161</v>
      </c>
      <c r="N28" t="s">
        <v>162</v>
      </c>
      <c r="O28">
        <v>1995</v>
      </c>
      <c r="P28" t="s">
        <v>160</v>
      </c>
      <c r="Q28" t="s">
        <v>124</v>
      </c>
    </row>
    <row r="29" spans="4:17" x14ac:dyDescent="0.25">
      <c r="E29" t="s">
        <v>191</v>
      </c>
      <c r="K29" t="str">
        <f t="shared" si="0"/>
        <v xml:space="preserve"> NOME E COGNOME</v>
      </c>
      <c r="M29" t="s">
        <v>163</v>
      </c>
      <c r="O29" t="s">
        <v>164</v>
      </c>
    </row>
    <row r="30" spans="4:17" ht="17.25" x14ac:dyDescent="0.25">
      <c r="E30" s="2"/>
      <c r="K30" t="str">
        <f t="shared" si="0"/>
        <v>Bougeant Frédéric</v>
      </c>
      <c r="M30" t="s">
        <v>165</v>
      </c>
      <c r="N30" t="s">
        <v>166</v>
      </c>
      <c r="O30" t="s">
        <v>167</v>
      </c>
    </row>
    <row r="31" spans="4:17" ht="17.25" x14ac:dyDescent="0.25">
      <c r="E31" s="2"/>
    </row>
    <row r="32" spans="4:17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8CF1-65BC-4F9D-A9D8-6EA64E1CF63E}">
  <dimension ref="B4:S37"/>
  <sheetViews>
    <sheetView workbookViewId="0">
      <selection activeCell="B6" sqref="B6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2:19" x14ac:dyDescent="0.25">
      <c r="E4" s="4" t="s">
        <v>21</v>
      </c>
    </row>
    <row r="5" spans="2:19" x14ac:dyDescent="0.25">
      <c r="D5" t="s">
        <v>4</v>
      </c>
      <c r="E5" t="s">
        <v>0</v>
      </c>
      <c r="G5" t="s">
        <v>4</v>
      </c>
      <c r="H5" t="s">
        <v>0</v>
      </c>
      <c r="K5" t="str">
        <f>P5&amp;" "&amp;O5</f>
        <v>Piantini Avendano Antonella Valentina</v>
      </c>
      <c r="O5" t="s">
        <v>560</v>
      </c>
      <c r="P5" t="s">
        <v>561</v>
      </c>
      <c r="Q5">
        <v>1992</v>
      </c>
      <c r="R5" t="s">
        <v>562</v>
      </c>
      <c r="S5" t="s">
        <v>6</v>
      </c>
    </row>
    <row r="6" spans="2:19" x14ac:dyDescent="0.25">
      <c r="B6" s="28"/>
      <c r="D6">
        <v>4</v>
      </c>
      <c r="E6" t="s">
        <v>598</v>
      </c>
      <c r="G6" t="s">
        <v>22</v>
      </c>
      <c r="K6" t="str">
        <f t="shared" ref="K6:K25" si="0">P6&amp;" "&amp;O6</f>
        <v>Mangone Asia </v>
      </c>
      <c r="O6" t="s">
        <v>563</v>
      </c>
      <c r="P6" t="s">
        <v>564</v>
      </c>
      <c r="Q6">
        <v>2005</v>
      </c>
      <c r="R6" t="s">
        <v>103</v>
      </c>
      <c r="S6" t="s">
        <v>138</v>
      </c>
    </row>
    <row r="7" spans="2:19" x14ac:dyDescent="0.25">
      <c r="D7">
        <v>7</v>
      </c>
      <c r="E7" t="s">
        <v>599</v>
      </c>
      <c r="G7" t="s">
        <v>1</v>
      </c>
      <c r="H7" t="s">
        <v>617</v>
      </c>
      <c r="K7" t="str">
        <f t="shared" si="0"/>
        <v>Gislimberti Aurora </v>
      </c>
      <c r="O7" t="s">
        <v>565</v>
      </c>
      <c r="P7" t="s">
        <v>566</v>
      </c>
      <c r="Q7">
        <v>2004</v>
      </c>
      <c r="R7" t="s">
        <v>103</v>
      </c>
      <c r="S7" t="s">
        <v>134</v>
      </c>
    </row>
    <row r="8" spans="2:19" x14ac:dyDescent="0.25">
      <c r="D8">
        <v>8</v>
      </c>
      <c r="E8" t="s">
        <v>600</v>
      </c>
      <c r="G8" t="s">
        <v>2</v>
      </c>
      <c r="K8" t="str">
        <f t="shared" si="0"/>
        <v>Sucacuexe Paulo Sebastiao Catarina</v>
      </c>
      <c r="O8" t="s">
        <v>567</v>
      </c>
      <c r="P8" t="s">
        <v>568</v>
      </c>
      <c r="Q8">
        <v>2002</v>
      </c>
      <c r="R8" t="s">
        <v>569</v>
      </c>
      <c r="S8" t="s">
        <v>138</v>
      </c>
    </row>
    <row r="9" spans="2:19" x14ac:dyDescent="0.25">
      <c r="D9">
        <v>9</v>
      </c>
      <c r="E9" t="s">
        <v>601</v>
      </c>
      <c r="G9" t="s">
        <v>23</v>
      </c>
      <c r="K9" t="str">
        <f t="shared" si="0"/>
        <v>Woller Cecilie</v>
      </c>
      <c r="O9" t="s">
        <v>570</v>
      </c>
      <c r="P9" t="s">
        <v>571</v>
      </c>
      <c r="Q9">
        <v>1992</v>
      </c>
      <c r="R9" t="s">
        <v>572</v>
      </c>
      <c r="S9" t="s">
        <v>5</v>
      </c>
    </row>
    <row r="10" spans="2:19" x14ac:dyDescent="0.25">
      <c r="D10">
        <v>12</v>
      </c>
      <c r="E10" t="s">
        <v>602</v>
      </c>
      <c r="G10" t="s">
        <v>3</v>
      </c>
      <c r="K10" t="str">
        <f t="shared" si="0"/>
        <v>Lauretti Matos Cyrielle Paola</v>
      </c>
      <c r="O10" t="s">
        <v>573</v>
      </c>
      <c r="P10" t="s">
        <v>574</v>
      </c>
      <c r="Q10">
        <v>1997</v>
      </c>
      <c r="R10" t="s">
        <v>103</v>
      </c>
      <c r="S10" t="s">
        <v>134</v>
      </c>
    </row>
    <row r="11" spans="2:19" x14ac:dyDescent="0.25">
      <c r="D11">
        <v>14</v>
      </c>
      <c r="E11" t="s">
        <v>603</v>
      </c>
      <c r="K11" t="str">
        <f t="shared" si="0"/>
        <v>Nukovic Edita </v>
      </c>
      <c r="O11" t="s">
        <v>575</v>
      </c>
      <c r="P11" t="s">
        <v>576</v>
      </c>
      <c r="Q11">
        <v>1997</v>
      </c>
      <c r="R11" t="s">
        <v>577</v>
      </c>
      <c r="S11" t="s">
        <v>134</v>
      </c>
    </row>
    <row r="12" spans="2:19" x14ac:dyDescent="0.25">
      <c r="D12">
        <v>18</v>
      </c>
      <c r="E12" t="s">
        <v>604</v>
      </c>
      <c r="K12" t="str">
        <f t="shared" si="0"/>
        <v>Salvaro Emma </v>
      </c>
      <c r="O12" t="s">
        <v>578</v>
      </c>
      <c r="P12" t="s">
        <v>579</v>
      </c>
      <c r="Q12">
        <v>2005</v>
      </c>
      <c r="R12" t="s">
        <v>103</v>
      </c>
      <c r="S12" t="s">
        <v>109</v>
      </c>
    </row>
    <row r="13" spans="2:19" x14ac:dyDescent="0.25">
      <c r="D13">
        <v>21</v>
      </c>
      <c r="E13" t="s">
        <v>605</v>
      </c>
      <c r="K13" t="str">
        <f t="shared" si="0"/>
        <v>Fabbo Giulia Antonia</v>
      </c>
      <c r="O13" t="s">
        <v>580</v>
      </c>
      <c r="P13" t="s">
        <v>581</v>
      </c>
      <c r="Q13">
        <v>2003</v>
      </c>
      <c r="R13" t="s">
        <v>103</v>
      </c>
      <c r="S13" t="s">
        <v>124</v>
      </c>
    </row>
    <row r="14" spans="2:19" x14ac:dyDescent="0.25">
      <c r="E14" t="s">
        <v>606</v>
      </c>
      <c r="K14" t="str">
        <f t="shared" si="0"/>
        <v>Rossomando Giulia</v>
      </c>
      <c r="O14" t="s">
        <v>193</v>
      </c>
      <c r="P14" t="s">
        <v>582</v>
      </c>
      <c r="Q14">
        <v>2004</v>
      </c>
      <c r="R14" t="s">
        <v>103</v>
      </c>
      <c r="S14" t="s">
        <v>119</v>
      </c>
    </row>
    <row r="15" spans="2:19" x14ac:dyDescent="0.25">
      <c r="E15" t="s">
        <v>607</v>
      </c>
      <c r="K15" t="str">
        <f t="shared" si="0"/>
        <v>Dalla Costa Ilaria</v>
      </c>
      <c r="O15" t="s">
        <v>413</v>
      </c>
      <c r="P15" t="s">
        <v>583</v>
      </c>
      <c r="Q15">
        <v>1995</v>
      </c>
      <c r="R15" t="s">
        <v>103</v>
      </c>
      <c r="S15" t="s">
        <v>124</v>
      </c>
    </row>
    <row r="16" spans="2:19" x14ac:dyDescent="0.25">
      <c r="D16">
        <v>33</v>
      </c>
      <c r="E16" t="s">
        <v>608</v>
      </c>
      <c r="K16" t="str">
        <f t="shared" si="0"/>
        <v>Danti Margherita</v>
      </c>
      <c r="O16" t="s">
        <v>360</v>
      </c>
      <c r="P16" t="s">
        <v>584</v>
      </c>
      <c r="Q16">
        <v>2006</v>
      </c>
      <c r="R16" t="s">
        <v>103</v>
      </c>
      <c r="S16" t="s">
        <v>6</v>
      </c>
    </row>
    <row r="17" spans="4:19" x14ac:dyDescent="0.25">
      <c r="D17">
        <v>71</v>
      </c>
      <c r="E17" t="s">
        <v>609</v>
      </c>
      <c r="K17" t="str">
        <f t="shared" si="0"/>
        <v>Lepori Margherita</v>
      </c>
      <c r="O17" t="s">
        <v>360</v>
      </c>
      <c r="P17" t="s">
        <v>585</v>
      </c>
      <c r="Q17">
        <v>2005</v>
      </c>
      <c r="R17" t="s">
        <v>103</v>
      </c>
      <c r="S17" t="s">
        <v>119</v>
      </c>
    </row>
    <row r="18" spans="4:19" x14ac:dyDescent="0.25">
      <c r="D18">
        <v>32</v>
      </c>
      <c r="E18" t="s">
        <v>610</v>
      </c>
      <c r="K18" t="str">
        <f t="shared" si="0"/>
        <v>De Santis Martina </v>
      </c>
      <c r="O18" t="s">
        <v>510</v>
      </c>
      <c r="P18" t="s">
        <v>586</v>
      </c>
      <c r="Q18">
        <v>2003</v>
      </c>
      <c r="R18" t="s">
        <v>103</v>
      </c>
      <c r="S18" t="s">
        <v>5</v>
      </c>
    </row>
    <row r="19" spans="4:19" x14ac:dyDescent="0.25">
      <c r="D19">
        <v>54</v>
      </c>
      <c r="E19" t="s">
        <v>611</v>
      </c>
      <c r="K19" t="str">
        <f t="shared" si="0"/>
        <v>Lanfredi Olga </v>
      </c>
      <c r="O19" t="s">
        <v>587</v>
      </c>
      <c r="P19" t="s">
        <v>588</v>
      </c>
      <c r="Q19">
        <v>2001</v>
      </c>
      <c r="R19" t="s">
        <v>103</v>
      </c>
      <c r="S19" t="s">
        <v>109</v>
      </c>
    </row>
    <row r="20" spans="4:19" x14ac:dyDescent="0.25">
      <c r="E20" t="s">
        <v>612</v>
      </c>
      <c r="K20" t="str">
        <f t="shared" si="0"/>
        <v>Nappa Giulia</v>
      </c>
      <c r="O20" t="s">
        <v>193</v>
      </c>
      <c r="P20" t="s">
        <v>589</v>
      </c>
      <c r="Q20">
        <v>2007</v>
      </c>
      <c r="R20" t="s">
        <v>103</v>
      </c>
      <c r="S20" t="s">
        <v>6</v>
      </c>
    </row>
    <row r="21" spans="4:19" x14ac:dyDescent="0.25">
      <c r="E21" t="s">
        <v>613</v>
      </c>
      <c r="K21" t="str">
        <f t="shared" si="0"/>
        <v>Adinolfi Giorgia</v>
      </c>
      <c r="O21" t="s">
        <v>211</v>
      </c>
      <c r="P21" t="s">
        <v>590</v>
      </c>
      <c r="Q21">
        <v>2008</v>
      </c>
      <c r="R21" t="s">
        <v>103</v>
      </c>
      <c r="S21" t="s">
        <v>591</v>
      </c>
    </row>
    <row r="22" spans="4:19" x14ac:dyDescent="0.25">
      <c r="E22" t="s">
        <v>614</v>
      </c>
      <c r="K22" t="str">
        <f t="shared" si="0"/>
        <v>Rispoli Martina</v>
      </c>
      <c r="O22" t="s">
        <v>125</v>
      </c>
      <c r="P22" t="s">
        <v>592</v>
      </c>
      <c r="Q22">
        <v>2008</v>
      </c>
      <c r="R22" t="s">
        <v>103</v>
      </c>
      <c r="S22" t="s">
        <v>6</v>
      </c>
    </row>
    <row r="23" spans="4:19" x14ac:dyDescent="0.25">
      <c r="E23" t="s">
        <v>615</v>
      </c>
      <c r="K23" t="str">
        <f t="shared" si="0"/>
        <v>Malović Đurđina</v>
      </c>
      <c r="O23" t="s">
        <v>593</v>
      </c>
      <c r="P23" t="s">
        <v>594</v>
      </c>
      <c r="Q23">
        <v>1996</v>
      </c>
      <c r="R23" t="s">
        <v>595</v>
      </c>
      <c r="S23" t="s">
        <v>138</v>
      </c>
    </row>
    <row r="24" spans="4:19" x14ac:dyDescent="0.25">
      <c r="E24" t="s">
        <v>616</v>
      </c>
      <c r="K24" t="str">
        <f t="shared" si="0"/>
        <v xml:space="preserve"> NOME E COGNOME</v>
      </c>
      <c r="O24" t="s">
        <v>163</v>
      </c>
      <c r="Q24" t="s">
        <v>164</v>
      </c>
    </row>
    <row r="25" spans="4:19" x14ac:dyDescent="0.25">
      <c r="K25" t="str">
        <f t="shared" si="0"/>
        <v>Chirut Adrian</v>
      </c>
      <c r="O25" t="s">
        <v>596</v>
      </c>
      <c r="P25" t="s">
        <v>597</v>
      </c>
      <c r="Q25" t="s">
        <v>167</v>
      </c>
    </row>
    <row r="30" spans="4:19" ht="17.25" x14ac:dyDescent="0.25">
      <c r="E30" s="2"/>
    </row>
    <row r="31" spans="4:19" ht="17.25" x14ac:dyDescent="0.25">
      <c r="E31" s="2"/>
    </row>
    <row r="32" spans="4:19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04EB-6B6F-4613-BFA4-CBCCCB66F40D}">
  <dimension ref="D4:R37"/>
  <sheetViews>
    <sheetView workbookViewId="0">
      <selection activeCell="B10" sqref="B10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19.140625" bestFit="1" customWidth="1"/>
  </cols>
  <sheetData>
    <row r="4" spans="4:18" x14ac:dyDescent="0.25">
      <c r="E4" s="4" t="s">
        <v>31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Aichner Marie</v>
      </c>
      <c r="N5" t="s">
        <v>265</v>
      </c>
      <c r="O5" t="s">
        <v>266</v>
      </c>
      <c r="P5">
        <v>2005</v>
      </c>
      <c r="Q5" t="s">
        <v>103</v>
      </c>
      <c r="R5" t="s">
        <v>208</v>
      </c>
    </row>
    <row r="6" spans="4:18" x14ac:dyDescent="0.25">
      <c r="D6">
        <v>4</v>
      </c>
      <c r="E6" t="s">
        <v>309</v>
      </c>
      <c r="G6" t="s">
        <v>22</v>
      </c>
      <c r="K6" t="str">
        <f t="shared" ref="K6:K28" si="0">O6&amp;" "&amp;N6</f>
        <v>Babbo Giada</v>
      </c>
      <c r="N6" t="s">
        <v>267</v>
      </c>
      <c r="O6" t="s">
        <v>268</v>
      </c>
      <c r="P6">
        <v>1997</v>
      </c>
      <c r="Q6" t="s">
        <v>103</v>
      </c>
      <c r="R6" t="s">
        <v>109</v>
      </c>
    </row>
    <row r="7" spans="4:18" x14ac:dyDescent="0.25">
      <c r="D7">
        <v>7</v>
      </c>
      <c r="E7" t="s">
        <v>310</v>
      </c>
      <c r="G7" t="s">
        <v>1</v>
      </c>
      <c r="H7" t="s">
        <v>329</v>
      </c>
      <c r="K7" t="str">
        <f t="shared" si="0"/>
        <v>Dibona Giulia</v>
      </c>
      <c r="N7" t="s">
        <v>193</v>
      </c>
      <c r="O7" t="s">
        <v>269</v>
      </c>
      <c r="P7">
        <v>1992</v>
      </c>
      <c r="Q7" t="s">
        <v>103</v>
      </c>
      <c r="R7" t="s">
        <v>208</v>
      </c>
    </row>
    <row r="8" spans="4:18" x14ac:dyDescent="0.25">
      <c r="D8">
        <v>8</v>
      </c>
      <c r="E8" t="s">
        <v>311</v>
      </c>
      <c r="G8" t="s">
        <v>2</v>
      </c>
      <c r="H8" t="s">
        <v>330</v>
      </c>
      <c r="K8" t="str">
        <f t="shared" si="0"/>
        <v>Fadel Amelie</v>
      </c>
      <c r="N8" t="s">
        <v>270</v>
      </c>
      <c r="O8" t="s">
        <v>271</v>
      </c>
      <c r="P8">
        <v>2009</v>
      </c>
      <c r="Q8" t="s">
        <v>103</v>
      </c>
      <c r="R8" t="s">
        <v>208</v>
      </c>
    </row>
    <row r="9" spans="4:18" x14ac:dyDescent="0.25">
      <c r="D9">
        <v>9</v>
      </c>
      <c r="E9" t="s">
        <v>312</v>
      </c>
      <c r="G9" t="s">
        <v>23</v>
      </c>
      <c r="H9" t="s">
        <v>331</v>
      </c>
      <c r="K9" t="str">
        <f t="shared" si="0"/>
        <v>Gamper Carolin</v>
      </c>
      <c r="N9" t="s">
        <v>272</v>
      </c>
      <c r="O9" t="s">
        <v>273</v>
      </c>
      <c r="P9">
        <v>1993</v>
      </c>
      <c r="Q9" t="s">
        <v>103</v>
      </c>
      <c r="R9" t="s">
        <v>134</v>
      </c>
    </row>
    <row r="10" spans="4:18" x14ac:dyDescent="0.25">
      <c r="D10">
        <v>12</v>
      </c>
      <c r="E10" t="s">
        <v>313</v>
      </c>
      <c r="G10" t="s">
        <v>3</v>
      </c>
      <c r="K10" t="str">
        <f t="shared" si="0"/>
        <v>Habicher Mara</v>
      </c>
      <c r="N10" t="s">
        <v>274</v>
      </c>
      <c r="O10" t="s">
        <v>275</v>
      </c>
      <c r="P10">
        <v>1996</v>
      </c>
      <c r="Q10" t="s">
        <v>103</v>
      </c>
      <c r="R10" t="s">
        <v>5</v>
      </c>
    </row>
    <row r="11" spans="4:18" x14ac:dyDescent="0.25">
      <c r="D11">
        <v>14</v>
      </c>
      <c r="E11" t="s">
        <v>314</v>
      </c>
      <c r="K11" t="str">
        <f t="shared" si="0"/>
        <v>Habicher Nelly</v>
      </c>
      <c r="N11" t="s">
        <v>276</v>
      </c>
      <c r="O11" t="s">
        <v>275</v>
      </c>
      <c r="P11">
        <v>2004</v>
      </c>
      <c r="Q11" t="s">
        <v>103</v>
      </c>
      <c r="R11" t="s">
        <v>208</v>
      </c>
    </row>
    <row r="12" spans="4:18" x14ac:dyDescent="0.25">
      <c r="D12">
        <v>18</v>
      </c>
      <c r="E12" t="s">
        <v>315</v>
      </c>
      <c r="K12" t="str">
        <f t="shared" si="0"/>
        <v>Hilber Sarah</v>
      </c>
      <c r="N12" t="s">
        <v>277</v>
      </c>
      <c r="O12" t="s">
        <v>278</v>
      </c>
      <c r="P12">
        <v>1998</v>
      </c>
      <c r="Q12" t="s">
        <v>103</v>
      </c>
      <c r="R12" t="s">
        <v>119</v>
      </c>
    </row>
    <row r="13" spans="4:18" x14ac:dyDescent="0.25">
      <c r="D13">
        <v>21</v>
      </c>
      <c r="E13" t="s">
        <v>316</v>
      </c>
      <c r="K13" t="str">
        <f t="shared" si="0"/>
        <v>Kiesenhofer Sophia</v>
      </c>
      <c r="N13" t="s">
        <v>279</v>
      </c>
      <c r="O13" t="s">
        <v>280</v>
      </c>
      <c r="P13">
        <v>2006</v>
      </c>
      <c r="Q13" t="s">
        <v>103</v>
      </c>
      <c r="R13" t="s">
        <v>109</v>
      </c>
    </row>
    <row r="14" spans="4:18" x14ac:dyDescent="0.25">
      <c r="E14" t="s">
        <v>317</v>
      </c>
      <c r="K14" t="str">
        <f t="shared" si="0"/>
        <v>Lucarini Giovanna</v>
      </c>
      <c r="N14" t="s">
        <v>281</v>
      </c>
      <c r="O14" t="s">
        <v>242</v>
      </c>
      <c r="P14">
        <v>2001</v>
      </c>
      <c r="Q14" t="s">
        <v>103</v>
      </c>
      <c r="R14" t="s">
        <v>282</v>
      </c>
    </row>
    <row r="15" spans="4:18" x14ac:dyDescent="0.25">
      <c r="E15" t="s">
        <v>318</v>
      </c>
      <c r="K15" t="str">
        <f t="shared" si="0"/>
        <v>Luchin Francesca</v>
      </c>
      <c r="N15" t="s">
        <v>114</v>
      </c>
      <c r="O15" t="s">
        <v>283</v>
      </c>
      <c r="P15">
        <v>1991</v>
      </c>
      <c r="Q15" t="s">
        <v>103</v>
      </c>
      <c r="R15" t="s">
        <v>6</v>
      </c>
    </row>
    <row r="16" spans="4:18" x14ac:dyDescent="0.25">
      <c r="D16">
        <v>33</v>
      </c>
      <c r="E16" t="s">
        <v>319</v>
      </c>
      <c r="K16" t="str">
        <f t="shared" si="0"/>
        <v>Matavš Nika</v>
      </c>
      <c r="N16" t="s">
        <v>284</v>
      </c>
      <c r="O16" t="s">
        <v>285</v>
      </c>
      <c r="P16">
        <v>1999</v>
      </c>
      <c r="Q16" t="s">
        <v>286</v>
      </c>
      <c r="R16" t="s">
        <v>208</v>
      </c>
    </row>
    <row r="17" spans="4:18" x14ac:dyDescent="0.25">
      <c r="D17">
        <v>71</v>
      </c>
      <c r="E17" t="s">
        <v>320</v>
      </c>
      <c r="K17" t="str">
        <f t="shared" si="0"/>
        <v>Mitterrutzner Nina</v>
      </c>
      <c r="N17" t="s">
        <v>287</v>
      </c>
      <c r="O17" t="s">
        <v>288</v>
      </c>
      <c r="P17">
        <v>2008</v>
      </c>
      <c r="Q17" t="s">
        <v>103</v>
      </c>
      <c r="R17" t="s">
        <v>109</v>
      </c>
    </row>
    <row r="18" spans="4:18" x14ac:dyDescent="0.25">
      <c r="D18">
        <v>32</v>
      </c>
      <c r="E18" t="s">
        <v>321</v>
      </c>
      <c r="K18" t="str">
        <f t="shared" si="0"/>
        <v>Nothdurfter Barbara</v>
      </c>
      <c r="N18" t="s">
        <v>289</v>
      </c>
      <c r="O18" t="s">
        <v>290</v>
      </c>
      <c r="P18">
        <v>2001</v>
      </c>
      <c r="Q18" t="s">
        <v>103</v>
      </c>
      <c r="R18" t="s">
        <v>291</v>
      </c>
    </row>
    <row r="19" spans="4:18" x14ac:dyDescent="0.25">
      <c r="D19">
        <v>54</v>
      </c>
      <c r="E19" t="s">
        <v>322</v>
      </c>
      <c r="K19" t="str">
        <f t="shared" si="0"/>
        <v>Oberrauch Marie</v>
      </c>
      <c r="N19" t="s">
        <v>265</v>
      </c>
      <c r="O19" t="s">
        <v>292</v>
      </c>
      <c r="P19">
        <v>2009</v>
      </c>
      <c r="Q19" t="s">
        <v>103</v>
      </c>
      <c r="R19" t="s">
        <v>208</v>
      </c>
    </row>
    <row r="20" spans="4:18" x14ac:dyDescent="0.25">
      <c r="E20" t="s">
        <v>323</v>
      </c>
      <c r="K20" t="str">
        <f t="shared" si="0"/>
        <v>Ruhl Hannah</v>
      </c>
      <c r="N20" t="s">
        <v>293</v>
      </c>
      <c r="O20" t="s">
        <v>294</v>
      </c>
      <c r="P20">
        <v>2008</v>
      </c>
      <c r="Q20" t="s">
        <v>103</v>
      </c>
      <c r="R20" t="s">
        <v>208</v>
      </c>
    </row>
    <row r="21" spans="4:18" x14ac:dyDescent="0.25">
      <c r="E21" t="s">
        <v>324</v>
      </c>
      <c r="K21" t="str">
        <f t="shared" si="0"/>
        <v>Sozio Elisa</v>
      </c>
      <c r="N21" t="s">
        <v>209</v>
      </c>
      <c r="O21" t="s">
        <v>295</v>
      </c>
      <c r="P21">
        <v>2004</v>
      </c>
      <c r="Q21" t="s">
        <v>103</v>
      </c>
      <c r="R21" t="s">
        <v>119</v>
      </c>
    </row>
    <row r="22" spans="4:18" x14ac:dyDescent="0.25">
      <c r="E22" t="s">
        <v>325</v>
      </c>
      <c r="K22" t="str">
        <f t="shared" si="0"/>
        <v>Springeth Sonja</v>
      </c>
      <c r="N22" t="s">
        <v>296</v>
      </c>
      <c r="O22" t="s">
        <v>297</v>
      </c>
      <c r="P22">
        <v>2007</v>
      </c>
      <c r="Q22" t="s">
        <v>103</v>
      </c>
      <c r="R22" t="s">
        <v>134</v>
      </c>
    </row>
    <row r="23" spans="4:18" x14ac:dyDescent="0.25">
      <c r="E23" t="s">
        <v>326</v>
      </c>
      <c r="K23" t="str">
        <f t="shared" si="0"/>
        <v>Unterweger Marie</v>
      </c>
      <c r="N23" t="s">
        <v>265</v>
      </c>
      <c r="O23" t="s">
        <v>298</v>
      </c>
      <c r="P23">
        <v>2007</v>
      </c>
      <c r="Q23" t="s">
        <v>103</v>
      </c>
      <c r="R23" t="s">
        <v>6</v>
      </c>
    </row>
    <row r="24" spans="4:18" x14ac:dyDescent="0.25">
      <c r="E24" t="s">
        <v>327</v>
      </c>
      <c r="K24" t="str">
        <f t="shared" si="0"/>
        <v>Vegni Violetta</v>
      </c>
      <c r="N24" t="s">
        <v>299</v>
      </c>
      <c r="O24" t="s">
        <v>300</v>
      </c>
      <c r="P24">
        <v>2000</v>
      </c>
      <c r="Q24" t="s">
        <v>103</v>
      </c>
      <c r="R24" t="s">
        <v>134</v>
      </c>
    </row>
    <row r="25" spans="4:18" x14ac:dyDescent="0.25">
      <c r="E25" t="s">
        <v>328</v>
      </c>
      <c r="K25" t="str">
        <f t="shared" si="0"/>
        <v xml:space="preserve"> NOME E COGNOME</v>
      </c>
      <c r="N25" t="s">
        <v>163</v>
      </c>
      <c r="P25" t="s">
        <v>164</v>
      </c>
    </row>
    <row r="26" spans="4:18" x14ac:dyDescent="0.25">
      <c r="K26" t="str">
        <f t="shared" si="0"/>
        <v>Nössing Hubi</v>
      </c>
      <c r="N26" t="s">
        <v>301</v>
      </c>
      <c r="O26" t="s">
        <v>302</v>
      </c>
      <c r="P26" t="s">
        <v>167</v>
      </c>
    </row>
    <row r="27" spans="4:18" x14ac:dyDescent="0.25">
      <c r="K27" t="str">
        <f t="shared" si="0"/>
        <v>Eder Andrea</v>
      </c>
      <c r="N27" t="s">
        <v>303</v>
      </c>
      <c r="O27" t="s">
        <v>304</v>
      </c>
      <c r="P27" t="s">
        <v>305</v>
      </c>
    </row>
    <row r="28" spans="4:18" x14ac:dyDescent="0.25">
      <c r="K28" t="str">
        <f t="shared" si="0"/>
        <v>Prünster Monika</v>
      </c>
      <c r="N28" t="s">
        <v>306</v>
      </c>
      <c r="O28" t="s">
        <v>307</v>
      </c>
      <c r="P28" t="s">
        <v>308</v>
      </c>
    </row>
    <row r="30" spans="4:18" ht="17.25" x14ac:dyDescent="0.25">
      <c r="E30" s="2"/>
    </row>
    <row r="31" spans="4:18" ht="17.25" x14ac:dyDescent="0.25">
      <c r="E31" s="2"/>
    </row>
    <row r="32" spans="4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08C4-3B7E-4773-8F81-446408167E43}">
  <dimension ref="D4:R37"/>
  <sheetViews>
    <sheetView workbookViewId="0">
      <selection activeCell="B12" sqref="B1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14.7109375" bestFit="1" customWidth="1"/>
  </cols>
  <sheetData>
    <row r="4" spans="4:18" x14ac:dyDescent="0.25">
      <c r="E4" s="4" t="s">
        <v>88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Anziliero Giulia</v>
      </c>
      <c r="N5" t="s">
        <v>193</v>
      </c>
      <c r="O5" t="s">
        <v>194</v>
      </c>
      <c r="P5">
        <v>2006</v>
      </c>
      <c r="Q5" t="s">
        <v>103</v>
      </c>
      <c r="R5" t="s">
        <v>131</v>
      </c>
    </row>
    <row r="6" spans="4:18" x14ac:dyDescent="0.25">
      <c r="E6" t="s">
        <v>243</v>
      </c>
      <c r="G6" t="s">
        <v>22</v>
      </c>
      <c r="K6" t="str">
        <f t="shared" ref="K6:K27" si="0">O6&amp;" "&amp;N6</f>
        <v>Balzer Julia Chiara</v>
      </c>
      <c r="N6" t="s">
        <v>195</v>
      </c>
      <c r="O6" t="s">
        <v>196</v>
      </c>
      <c r="P6">
        <v>2005</v>
      </c>
      <c r="Q6" t="s">
        <v>197</v>
      </c>
      <c r="R6" t="s">
        <v>124</v>
      </c>
    </row>
    <row r="7" spans="4:18" x14ac:dyDescent="0.25">
      <c r="E7" t="s">
        <v>244</v>
      </c>
      <c r="G7" t="s">
        <v>1</v>
      </c>
      <c r="H7" t="s">
        <v>264</v>
      </c>
      <c r="K7" t="str">
        <f t="shared" si="0"/>
        <v>Bernardi Erika</v>
      </c>
      <c r="N7" t="s">
        <v>198</v>
      </c>
      <c r="O7" t="s">
        <v>199</v>
      </c>
      <c r="P7">
        <v>2006</v>
      </c>
      <c r="Q7" t="s">
        <v>103</v>
      </c>
      <c r="R7" t="s">
        <v>200</v>
      </c>
    </row>
    <row r="8" spans="4:18" x14ac:dyDescent="0.25">
      <c r="E8" t="s">
        <v>245</v>
      </c>
      <c r="G8" t="s">
        <v>2</v>
      </c>
      <c r="K8" t="str">
        <f t="shared" si="0"/>
        <v>Bisello Giulia</v>
      </c>
      <c r="N8" t="s">
        <v>193</v>
      </c>
      <c r="O8" t="s">
        <v>201</v>
      </c>
      <c r="P8">
        <v>2007</v>
      </c>
      <c r="Q8" t="s">
        <v>103</v>
      </c>
      <c r="R8" t="s">
        <v>124</v>
      </c>
    </row>
    <row r="9" spans="4:18" x14ac:dyDescent="0.25">
      <c r="E9" t="s">
        <v>246</v>
      </c>
      <c r="G9" t="s">
        <v>23</v>
      </c>
      <c r="K9" t="str">
        <f t="shared" si="0"/>
        <v>Brunetti Arianna</v>
      </c>
      <c r="N9" t="s">
        <v>202</v>
      </c>
      <c r="O9" t="s">
        <v>203</v>
      </c>
      <c r="P9">
        <v>1998</v>
      </c>
      <c r="Q9" t="s">
        <v>103</v>
      </c>
      <c r="R9" t="s">
        <v>119</v>
      </c>
    </row>
    <row r="10" spans="4:18" x14ac:dyDescent="0.25">
      <c r="E10" t="s">
        <v>247</v>
      </c>
      <c r="G10" t="s">
        <v>3</v>
      </c>
      <c r="K10" t="str">
        <f t="shared" si="0"/>
        <v>Bucur Ana Maria</v>
      </c>
      <c r="N10" t="s">
        <v>204</v>
      </c>
      <c r="O10" t="s">
        <v>205</v>
      </c>
      <c r="P10">
        <v>2004</v>
      </c>
      <c r="Q10" t="s">
        <v>103</v>
      </c>
      <c r="R10" t="s">
        <v>124</v>
      </c>
    </row>
    <row r="11" spans="4:18" x14ac:dyDescent="0.25">
      <c r="E11" t="s">
        <v>248</v>
      </c>
      <c r="K11" t="str">
        <f t="shared" si="0"/>
        <v>Cabrini Marianna</v>
      </c>
      <c r="N11" t="s">
        <v>206</v>
      </c>
      <c r="O11" t="s">
        <v>207</v>
      </c>
      <c r="P11">
        <v>2005</v>
      </c>
      <c r="Q11" t="s">
        <v>103</v>
      </c>
      <c r="R11" t="s">
        <v>208</v>
      </c>
    </row>
    <row r="12" spans="4:18" x14ac:dyDescent="0.25">
      <c r="E12" t="s">
        <v>249</v>
      </c>
      <c r="K12" t="str">
        <f t="shared" si="0"/>
        <v>Campagnaro Elisa</v>
      </c>
      <c r="N12" t="s">
        <v>209</v>
      </c>
      <c r="O12" t="s">
        <v>210</v>
      </c>
      <c r="P12">
        <v>1998</v>
      </c>
      <c r="Q12" t="s">
        <v>103</v>
      </c>
      <c r="R12" t="s">
        <v>109</v>
      </c>
    </row>
    <row r="13" spans="4:18" x14ac:dyDescent="0.25">
      <c r="E13" t="s">
        <v>250</v>
      </c>
      <c r="K13" t="str">
        <f t="shared" si="0"/>
        <v>Chiarotto Giorgia</v>
      </c>
      <c r="N13" t="s">
        <v>211</v>
      </c>
      <c r="O13" t="s">
        <v>212</v>
      </c>
      <c r="P13">
        <v>2002</v>
      </c>
      <c r="Q13" t="s">
        <v>103</v>
      </c>
      <c r="R13" t="s">
        <v>6</v>
      </c>
    </row>
    <row r="14" spans="4:18" x14ac:dyDescent="0.25">
      <c r="E14" t="s">
        <v>251</v>
      </c>
      <c r="K14" t="str">
        <f t="shared" si="0"/>
        <v>Chiarotto Gloria</v>
      </c>
      <c r="N14" t="s">
        <v>213</v>
      </c>
      <c r="O14" t="s">
        <v>212</v>
      </c>
      <c r="P14">
        <v>2006</v>
      </c>
      <c r="Q14" t="s">
        <v>103</v>
      </c>
      <c r="R14" t="s">
        <v>134</v>
      </c>
    </row>
    <row r="15" spans="4:18" x14ac:dyDescent="0.25">
      <c r="E15" t="s">
        <v>252</v>
      </c>
      <c r="K15" t="str">
        <f t="shared" si="0"/>
        <v>Di Fede Rachele</v>
      </c>
      <c r="N15" t="s">
        <v>214</v>
      </c>
      <c r="O15" t="s">
        <v>215</v>
      </c>
      <c r="P15">
        <v>2007</v>
      </c>
      <c r="Q15" t="s">
        <v>103</v>
      </c>
      <c r="R15" t="s">
        <v>6</v>
      </c>
    </row>
    <row r="16" spans="4:18" x14ac:dyDescent="0.25">
      <c r="E16" t="s">
        <v>253</v>
      </c>
      <c r="K16" t="str">
        <f t="shared" si="0"/>
        <v>Fiorasi Arianna</v>
      </c>
      <c r="N16" t="s">
        <v>202</v>
      </c>
      <c r="O16" t="s">
        <v>216</v>
      </c>
      <c r="P16">
        <v>2005</v>
      </c>
      <c r="Q16" t="s">
        <v>103</v>
      </c>
      <c r="R16" t="s">
        <v>6</v>
      </c>
    </row>
    <row r="17" spans="5:18" x14ac:dyDescent="0.25">
      <c r="E17" t="s">
        <v>254</v>
      </c>
      <c r="K17" t="str">
        <f t="shared" si="0"/>
        <v>Galvan Anna</v>
      </c>
      <c r="N17" t="s">
        <v>217</v>
      </c>
      <c r="O17" t="s">
        <v>218</v>
      </c>
      <c r="P17">
        <v>2004</v>
      </c>
      <c r="Q17" t="s">
        <v>103</v>
      </c>
      <c r="R17" t="s">
        <v>134</v>
      </c>
    </row>
    <row r="18" spans="5:18" x14ac:dyDescent="0.25">
      <c r="E18" t="s">
        <v>255</v>
      </c>
      <c r="K18" t="str">
        <f t="shared" si="0"/>
        <v>Mamet Agustina</v>
      </c>
      <c r="N18" t="s">
        <v>219</v>
      </c>
      <c r="O18" t="s">
        <v>220</v>
      </c>
      <c r="P18">
        <v>1993</v>
      </c>
      <c r="Q18" t="s">
        <v>221</v>
      </c>
      <c r="R18" t="s">
        <v>222</v>
      </c>
    </row>
    <row r="19" spans="5:18" x14ac:dyDescent="0.25">
      <c r="E19" t="s">
        <v>256</v>
      </c>
      <c r="K19" t="str">
        <f t="shared" si="0"/>
        <v>Mazzariol Angela</v>
      </c>
      <c r="N19" t="s">
        <v>223</v>
      </c>
      <c r="O19" t="s">
        <v>224</v>
      </c>
      <c r="P19">
        <v>2008</v>
      </c>
      <c r="Q19" t="s">
        <v>103</v>
      </c>
      <c r="R19" t="s">
        <v>109</v>
      </c>
    </row>
    <row r="20" spans="5:18" x14ac:dyDescent="0.25">
      <c r="E20" t="s">
        <v>257</v>
      </c>
      <c r="K20" t="str">
        <f t="shared" si="0"/>
        <v>Özsöz Şevval</v>
      </c>
      <c r="N20" t="s">
        <v>225</v>
      </c>
      <c r="O20" t="s">
        <v>226</v>
      </c>
      <c r="P20">
        <v>2001</v>
      </c>
      <c r="Q20" t="s">
        <v>227</v>
      </c>
      <c r="R20" t="s">
        <v>228</v>
      </c>
    </row>
    <row r="21" spans="5:18" x14ac:dyDescent="0.25">
      <c r="E21" t="s">
        <v>258</v>
      </c>
      <c r="K21" t="str">
        <f t="shared" si="0"/>
        <v>Pinto Pereira Daniela Sofia</v>
      </c>
      <c r="N21" t="s">
        <v>229</v>
      </c>
      <c r="O21" t="s">
        <v>230</v>
      </c>
      <c r="P21">
        <v>1990</v>
      </c>
      <c r="Q21" t="s">
        <v>231</v>
      </c>
      <c r="R21" t="s">
        <v>6</v>
      </c>
    </row>
    <row r="22" spans="5:18" x14ac:dyDescent="0.25">
      <c r="E22" t="s">
        <v>259</v>
      </c>
      <c r="K22" t="str">
        <f t="shared" si="0"/>
        <v>Pugliese Carlotta</v>
      </c>
      <c r="N22" t="s">
        <v>232</v>
      </c>
      <c r="O22" t="s">
        <v>233</v>
      </c>
      <c r="P22">
        <v>1998</v>
      </c>
      <c r="Q22" t="s">
        <v>103</v>
      </c>
      <c r="R22" t="s">
        <v>134</v>
      </c>
    </row>
    <row r="23" spans="5:18" x14ac:dyDescent="0.25">
      <c r="E23" t="s">
        <v>260</v>
      </c>
      <c r="K23" t="str">
        <f t="shared" si="0"/>
        <v>Rubin Anita</v>
      </c>
      <c r="N23" t="s">
        <v>234</v>
      </c>
      <c r="O23" t="s">
        <v>235</v>
      </c>
      <c r="P23">
        <v>2005</v>
      </c>
      <c r="Q23" t="s">
        <v>103</v>
      </c>
      <c r="R23" t="s">
        <v>5</v>
      </c>
    </row>
    <row r="24" spans="5:18" x14ac:dyDescent="0.25">
      <c r="E24" t="s">
        <v>261</v>
      </c>
      <c r="K24" t="str">
        <f t="shared" si="0"/>
        <v>Sabbion Giorgia</v>
      </c>
      <c r="N24" t="s">
        <v>211</v>
      </c>
      <c r="O24" t="s">
        <v>236</v>
      </c>
      <c r="P24">
        <v>1997</v>
      </c>
      <c r="Q24" t="s">
        <v>103</v>
      </c>
      <c r="R24" t="s">
        <v>237</v>
      </c>
    </row>
    <row r="25" spans="5:18" x14ac:dyDescent="0.25">
      <c r="E25" t="s">
        <v>262</v>
      </c>
      <c r="K25" t="str">
        <f t="shared" si="0"/>
        <v>Stettler Lucila</v>
      </c>
      <c r="N25" t="s">
        <v>238</v>
      </c>
      <c r="O25" t="s">
        <v>239</v>
      </c>
      <c r="P25">
        <v>1990</v>
      </c>
      <c r="Q25" t="s">
        <v>240</v>
      </c>
      <c r="R25" t="s">
        <v>134</v>
      </c>
    </row>
    <row r="26" spans="5:18" x14ac:dyDescent="0.25">
      <c r="E26" t="s">
        <v>263</v>
      </c>
      <c r="K26" t="str">
        <f t="shared" si="0"/>
        <v xml:space="preserve"> NOME E COGNOME</v>
      </c>
      <c r="N26" t="s">
        <v>163</v>
      </c>
      <c r="P26" t="s">
        <v>164</v>
      </c>
    </row>
    <row r="27" spans="5:18" x14ac:dyDescent="0.25">
      <c r="K27" t="str">
        <f t="shared" si="0"/>
        <v>Lucarini Giuseppe</v>
      </c>
      <c r="N27" t="s">
        <v>241</v>
      </c>
      <c r="O27" t="s">
        <v>242</v>
      </c>
      <c r="P27" t="s">
        <v>167</v>
      </c>
    </row>
    <row r="30" spans="5:18" ht="17.25" x14ac:dyDescent="0.25">
      <c r="E30" s="2"/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E015-4C7C-48A4-B51D-810C65300760}">
  <dimension ref="D4:S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13.42578125" bestFit="1" customWidth="1"/>
  </cols>
  <sheetData>
    <row r="4" spans="4:19" x14ac:dyDescent="0.25">
      <c r="E4" s="4" t="s">
        <v>90</v>
      </c>
    </row>
    <row r="5" spans="4:19" x14ac:dyDescent="0.25">
      <c r="D5" t="s">
        <v>4</v>
      </c>
      <c r="E5" t="s">
        <v>0</v>
      </c>
      <c r="G5" t="s">
        <v>4</v>
      </c>
      <c r="H5" t="s">
        <v>0</v>
      </c>
      <c r="K5" t="str">
        <f>P5&amp;" "&amp;O5</f>
        <v>Artoni Alessia</v>
      </c>
      <c r="O5" t="s">
        <v>154</v>
      </c>
      <c r="P5" t="s">
        <v>332</v>
      </c>
      <c r="Q5">
        <v>2000</v>
      </c>
      <c r="R5" t="s">
        <v>103</v>
      </c>
      <c r="S5" t="s">
        <v>134</v>
      </c>
    </row>
    <row r="6" spans="4:19" x14ac:dyDescent="0.25">
      <c r="E6" t="s">
        <v>368</v>
      </c>
      <c r="G6" t="s">
        <v>22</v>
      </c>
      <c r="K6" t="str">
        <f t="shared" ref="K6:K27" si="0">P6&amp;" "&amp;O6</f>
        <v>Artoni Simona</v>
      </c>
      <c r="O6" t="s">
        <v>333</v>
      </c>
      <c r="P6" t="s">
        <v>332</v>
      </c>
      <c r="Q6">
        <v>2000</v>
      </c>
      <c r="R6" t="s">
        <v>103</v>
      </c>
      <c r="S6" t="s">
        <v>109</v>
      </c>
    </row>
    <row r="7" spans="4:19" x14ac:dyDescent="0.25">
      <c r="E7" t="s">
        <v>369</v>
      </c>
      <c r="G7" t="s">
        <v>1</v>
      </c>
      <c r="H7" t="s">
        <v>389</v>
      </c>
      <c r="K7" t="str">
        <f t="shared" si="0"/>
        <v>Baroni Emma</v>
      </c>
      <c r="O7" t="s">
        <v>334</v>
      </c>
      <c r="P7" t="s">
        <v>335</v>
      </c>
      <c r="Q7">
        <v>2007</v>
      </c>
      <c r="R7" t="s">
        <v>103</v>
      </c>
      <c r="S7" t="s">
        <v>109</v>
      </c>
    </row>
    <row r="8" spans="4:19" x14ac:dyDescent="0.25">
      <c r="E8" t="s">
        <v>370</v>
      </c>
      <c r="G8" t="s">
        <v>2</v>
      </c>
      <c r="K8" t="str">
        <f t="shared" si="0"/>
        <v>Baroni Sofia</v>
      </c>
      <c r="O8" t="s">
        <v>336</v>
      </c>
      <c r="P8" t="s">
        <v>335</v>
      </c>
      <c r="Q8">
        <v>2007</v>
      </c>
      <c r="R8" t="s">
        <v>337</v>
      </c>
      <c r="S8" t="s">
        <v>282</v>
      </c>
    </row>
    <row r="9" spans="4:19" x14ac:dyDescent="0.25">
      <c r="E9" t="s">
        <v>371</v>
      </c>
      <c r="G9" t="s">
        <v>23</v>
      </c>
      <c r="K9" t="str">
        <f t="shared" si="0"/>
        <v>Bonacini Valentina</v>
      </c>
      <c r="O9" t="s">
        <v>132</v>
      </c>
      <c r="P9" t="s">
        <v>338</v>
      </c>
      <c r="Q9">
        <v>2003</v>
      </c>
      <c r="R9" t="s">
        <v>103</v>
      </c>
      <c r="S9" t="s">
        <v>6</v>
      </c>
    </row>
    <row r="10" spans="4:19" x14ac:dyDescent="0.25">
      <c r="E10" t="s">
        <v>372</v>
      </c>
      <c r="G10" t="s">
        <v>3</v>
      </c>
      <c r="K10" t="str">
        <f t="shared" si="0"/>
        <v>Cosentino Giulia</v>
      </c>
      <c r="O10" t="s">
        <v>193</v>
      </c>
      <c r="P10" t="s">
        <v>339</v>
      </c>
      <c r="Q10">
        <v>2008</v>
      </c>
      <c r="R10" t="s">
        <v>103</v>
      </c>
      <c r="S10" t="s">
        <v>340</v>
      </c>
    </row>
    <row r="11" spans="4:19" x14ac:dyDescent="0.25">
      <c r="E11" t="s">
        <v>373</v>
      </c>
      <c r="K11" t="str">
        <f t="shared" si="0"/>
        <v>Ferrari Elisa</v>
      </c>
      <c r="O11" t="s">
        <v>209</v>
      </c>
      <c r="P11" t="s">
        <v>341</v>
      </c>
      <c r="Q11">
        <v>1993</v>
      </c>
      <c r="R11" t="s">
        <v>103</v>
      </c>
      <c r="S11" t="s">
        <v>6</v>
      </c>
    </row>
    <row r="12" spans="4:19" x14ac:dyDescent="0.25">
      <c r="E12" t="s">
        <v>374</v>
      </c>
      <c r="K12" t="str">
        <f t="shared" si="0"/>
        <v>Ferrari Laura</v>
      </c>
      <c r="O12" t="s">
        <v>342</v>
      </c>
      <c r="P12" t="s">
        <v>341</v>
      </c>
      <c r="Q12">
        <v>2007</v>
      </c>
      <c r="R12" t="s">
        <v>103</v>
      </c>
      <c r="S12" t="s">
        <v>282</v>
      </c>
    </row>
    <row r="13" spans="4:19" x14ac:dyDescent="0.25">
      <c r="E13" t="s">
        <v>375</v>
      </c>
      <c r="K13" t="str">
        <f t="shared" si="0"/>
        <v>Franco Francesca</v>
      </c>
      <c r="O13" t="s">
        <v>114</v>
      </c>
      <c r="P13" t="s">
        <v>343</v>
      </c>
      <c r="Q13">
        <v>1992</v>
      </c>
      <c r="R13" t="s">
        <v>103</v>
      </c>
      <c r="S13" t="s">
        <v>134</v>
      </c>
    </row>
    <row r="14" spans="4:19" x14ac:dyDescent="0.25">
      <c r="E14" t="s">
        <v>376</v>
      </c>
      <c r="K14" t="str">
        <f t="shared" si="0"/>
        <v>Galletti Camilla</v>
      </c>
      <c r="O14" t="s">
        <v>344</v>
      </c>
      <c r="P14" t="s">
        <v>345</v>
      </c>
      <c r="Q14">
        <v>2009</v>
      </c>
      <c r="R14" t="s">
        <v>337</v>
      </c>
      <c r="S14" t="s">
        <v>119</v>
      </c>
    </row>
    <row r="15" spans="4:19" x14ac:dyDescent="0.25">
      <c r="E15" t="s">
        <v>377</v>
      </c>
      <c r="K15" t="str">
        <f t="shared" si="0"/>
        <v>Giovannini Matilde</v>
      </c>
      <c r="O15" t="s">
        <v>346</v>
      </c>
      <c r="P15" t="s">
        <v>347</v>
      </c>
      <c r="Q15">
        <v>2008</v>
      </c>
      <c r="R15" t="s">
        <v>103</v>
      </c>
      <c r="S15" t="s">
        <v>124</v>
      </c>
    </row>
    <row r="16" spans="4:19" x14ac:dyDescent="0.25">
      <c r="E16" t="s">
        <v>378</v>
      </c>
      <c r="K16" t="str">
        <f t="shared" si="0"/>
        <v>Giubbini Viola</v>
      </c>
      <c r="O16" t="s">
        <v>348</v>
      </c>
      <c r="P16" t="s">
        <v>349</v>
      </c>
      <c r="Q16">
        <v>2008</v>
      </c>
      <c r="R16" t="s">
        <v>103</v>
      </c>
      <c r="S16" t="s">
        <v>6</v>
      </c>
    </row>
    <row r="17" spans="5:19" x14ac:dyDescent="0.25">
      <c r="E17" t="s">
        <v>379</v>
      </c>
      <c r="K17" t="str">
        <f t="shared" si="0"/>
        <v>Iyamu Charity</v>
      </c>
      <c r="O17" t="s">
        <v>350</v>
      </c>
      <c r="P17" t="s">
        <v>351</v>
      </c>
      <c r="Q17">
        <v>2005</v>
      </c>
      <c r="R17" t="s">
        <v>103</v>
      </c>
      <c r="S17" t="s">
        <v>124</v>
      </c>
    </row>
    <row r="18" spans="5:19" x14ac:dyDescent="0.25">
      <c r="E18" t="s">
        <v>380</v>
      </c>
      <c r="K18" t="str">
        <f t="shared" si="0"/>
        <v>Lassouli Malak</v>
      </c>
      <c r="O18" t="s">
        <v>352</v>
      </c>
      <c r="P18" t="s">
        <v>353</v>
      </c>
      <c r="Q18">
        <v>2008</v>
      </c>
      <c r="R18" t="s">
        <v>103</v>
      </c>
      <c r="S18" t="s">
        <v>200</v>
      </c>
    </row>
    <row r="19" spans="5:19" x14ac:dyDescent="0.25">
      <c r="E19" t="s">
        <v>381</v>
      </c>
      <c r="K19" t="str">
        <f t="shared" si="0"/>
        <v>Lusetti Gaia</v>
      </c>
      <c r="O19" t="s">
        <v>354</v>
      </c>
      <c r="P19" t="s">
        <v>355</v>
      </c>
      <c r="Q19">
        <v>2002</v>
      </c>
      <c r="R19" t="s">
        <v>103</v>
      </c>
      <c r="S19" t="s">
        <v>5</v>
      </c>
    </row>
    <row r="20" spans="5:19" x14ac:dyDescent="0.25">
      <c r="E20" t="s">
        <v>382</v>
      </c>
      <c r="K20" t="str">
        <f t="shared" si="0"/>
        <v>Niccolai Apostol Sara</v>
      </c>
      <c r="O20" t="s">
        <v>143</v>
      </c>
      <c r="P20" t="s">
        <v>356</v>
      </c>
      <c r="Q20">
        <v>2006</v>
      </c>
      <c r="R20" t="s">
        <v>103</v>
      </c>
      <c r="S20" t="s">
        <v>134</v>
      </c>
    </row>
    <row r="21" spans="5:19" x14ac:dyDescent="0.25">
      <c r="E21" t="s">
        <v>383</v>
      </c>
      <c r="K21" t="str">
        <f t="shared" si="0"/>
        <v>Orlandi Marianna</v>
      </c>
      <c r="O21" t="s">
        <v>206</v>
      </c>
      <c r="P21" t="s">
        <v>357</v>
      </c>
      <c r="Q21">
        <v>2000</v>
      </c>
      <c r="R21" t="s">
        <v>103</v>
      </c>
      <c r="S21" t="s">
        <v>119</v>
      </c>
    </row>
    <row r="22" spans="5:19" x14ac:dyDescent="0.25">
      <c r="E22" t="s">
        <v>384</v>
      </c>
      <c r="K22" t="str">
        <f t="shared" si="0"/>
        <v>Rondoni Chiara</v>
      </c>
      <c r="O22" t="s">
        <v>141</v>
      </c>
      <c r="P22" t="s">
        <v>358</v>
      </c>
      <c r="Q22">
        <v>2002</v>
      </c>
      <c r="R22" t="s">
        <v>103</v>
      </c>
      <c r="S22" t="s">
        <v>359</v>
      </c>
    </row>
    <row r="23" spans="5:19" x14ac:dyDescent="0.25">
      <c r="E23" t="s">
        <v>385</v>
      </c>
      <c r="K23" t="str">
        <f t="shared" si="0"/>
        <v>Rossi Margherita</v>
      </c>
      <c r="O23" t="s">
        <v>360</v>
      </c>
      <c r="P23" t="s">
        <v>361</v>
      </c>
      <c r="Q23">
        <v>2002</v>
      </c>
      <c r="R23" t="s">
        <v>103</v>
      </c>
      <c r="S23" t="s">
        <v>5</v>
      </c>
    </row>
    <row r="24" spans="5:19" x14ac:dyDescent="0.25">
      <c r="E24" t="s">
        <v>386</v>
      </c>
      <c r="K24" t="str">
        <f t="shared" si="0"/>
        <v>Stefanelli Irene</v>
      </c>
      <c r="O24" t="s">
        <v>120</v>
      </c>
      <c r="P24" t="s">
        <v>362</v>
      </c>
      <c r="Q24">
        <v>1998</v>
      </c>
      <c r="R24" t="s">
        <v>337</v>
      </c>
      <c r="S24" t="s">
        <v>124</v>
      </c>
    </row>
    <row r="25" spans="5:19" x14ac:dyDescent="0.25">
      <c r="E25" t="s">
        <v>387</v>
      </c>
      <c r="K25" t="str">
        <f t="shared" si="0"/>
        <v>Trevisi Greta</v>
      </c>
      <c r="O25" t="s">
        <v>363</v>
      </c>
      <c r="P25" t="s">
        <v>364</v>
      </c>
      <c r="Q25">
        <v>2008</v>
      </c>
      <c r="R25" t="s">
        <v>103</v>
      </c>
      <c r="S25" t="s">
        <v>131</v>
      </c>
    </row>
    <row r="26" spans="5:19" x14ac:dyDescent="0.25">
      <c r="E26" t="s">
        <v>388</v>
      </c>
      <c r="K26" t="str">
        <f t="shared" si="0"/>
        <v xml:space="preserve"> NOME E COGNOME</v>
      </c>
      <c r="O26" t="s">
        <v>163</v>
      </c>
      <c r="Q26" t="s">
        <v>164</v>
      </c>
    </row>
    <row r="27" spans="5:19" x14ac:dyDescent="0.25">
      <c r="K27" t="str">
        <f t="shared" si="0"/>
        <v>Barani Elena</v>
      </c>
      <c r="O27" t="s">
        <v>365</v>
      </c>
      <c r="P27" t="s">
        <v>366</v>
      </c>
      <c r="Q27" t="s">
        <v>367</v>
      </c>
    </row>
    <row r="30" spans="5:19" ht="17.25" x14ac:dyDescent="0.25">
      <c r="E30" s="2"/>
    </row>
    <row r="31" spans="5:19" ht="17.25" x14ac:dyDescent="0.25">
      <c r="E31" s="2"/>
    </row>
    <row r="32" spans="5:19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A101-4647-4E11-AA27-8307A7EF229F}">
  <dimension ref="D4:R37"/>
  <sheetViews>
    <sheetView workbookViewId="0">
      <selection activeCell="K28" sqref="K28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20.5703125" bestFit="1" customWidth="1"/>
  </cols>
  <sheetData>
    <row r="4" spans="4:18" x14ac:dyDescent="0.25">
      <c r="E4" s="4" t="s">
        <v>91</v>
      </c>
      <c r="K4" t="str">
        <f>O4&amp;" "&amp;N4</f>
        <v>Bertolino Nila</v>
      </c>
      <c r="N4" t="s">
        <v>390</v>
      </c>
      <c r="O4" t="s">
        <v>391</v>
      </c>
      <c r="P4">
        <v>2000</v>
      </c>
      <c r="Q4" t="s">
        <v>103</v>
      </c>
      <c r="R4" t="s">
        <v>6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 t="shared" ref="K5:K24" si="0">O5&amp;" "&amp;N5</f>
        <v>Morosi Alice</v>
      </c>
      <c r="N5" t="s">
        <v>392</v>
      </c>
      <c r="O5" t="s">
        <v>393</v>
      </c>
      <c r="P5">
        <v>2009</v>
      </c>
      <c r="Q5" t="s">
        <v>103</v>
      </c>
      <c r="R5" t="s">
        <v>394</v>
      </c>
    </row>
    <row r="6" spans="4:18" x14ac:dyDescent="0.25">
      <c r="E6" t="s">
        <v>430</v>
      </c>
      <c r="G6" t="s">
        <v>22</v>
      </c>
      <c r="K6" t="str">
        <f t="shared" si="0"/>
        <v>Barbosu Bianca Ioana</v>
      </c>
      <c r="N6" t="s">
        <v>395</v>
      </c>
      <c r="O6" t="s">
        <v>396</v>
      </c>
      <c r="P6">
        <v>1999</v>
      </c>
      <c r="Q6" t="s">
        <v>103</v>
      </c>
      <c r="R6" t="s">
        <v>397</v>
      </c>
    </row>
    <row r="7" spans="4:18" x14ac:dyDescent="0.25">
      <c r="E7" t="s">
        <v>431</v>
      </c>
      <c r="G7" t="s">
        <v>1</v>
      </c>
      <c r="H7" t="s">
        <v>449</v>
      </c>
      <c r="K7" t="str">
        <f t="shared" si="0"/>
        <v>Cobianchi Michela</v>
      </c>
      <c r="N7" t="s">
        <v>398</v>
      </c>
      <c r="O7" t="s">
        <v>399</v>
      </c>
      <c r="P7">
        <v>1991</v>
      </c>
      <c r="Q7" t="s">
        <v>103</v>
      </c>
      <c r="R7" t="s">
        <v>208</v>
      </c>
    </row>
    <row r="8" spans="4:18" x14ac:dyDescent="0.25">
      <c r="E8" t="s">
        <v>432</v>
      </c>
      <c r="G8" t="s">
        <v>2</v>
      </c>
      <c r="K8" t="str">
        <f t="shared" si="0"/>
        <v>Colloredo Eleonora</v>
      </c>
      <c r="N8" t="s">
        <v>400</v>
      </c>
      <c r="O8" t="s">
        <v>401</v>
      </c>
      <c r="P8">
        <v>2001</v>
      </c>
      <c r="Q8" t="s">
        <v>103</v>
      </c>
      <c r="R8" t="s">
        <v>134</v>
      </c>
    </row>
    <row r="9" spans="4:18" x14ac:dyDescent="0.25">
      <c r="E9" t="s">
        <v>433</v>
      </c>
      <c r="G9" t="s">
        <v>23</v>
      </c>
      <c r="K9" t="str">
        <f t="shared" si="0"/>
        <v>Ghilardi Sofia</v>
      </c>
      <c r="N9" t="s">
        <v>336</v>
      </c>
      <c r="O9" t="s">
        <v>402</v>
      </c>
      <c r="P9">
        <v>1999</v>
      </c>
      <c r="Q9" t="s">
        <v>103</v>
      </c>
      <c r="R9" t="s">
        <v>208</v>
      </c>
    </row>
    <row r="10" spans="4:18" x14ac:dyDescent="0.25">
      <c r="E10" t="s">
        <v>434</v>
      </c>
      <c r="G10" t="s">
        <v>3</v>
      </c>
      <c r="K10" t="str">
        <f t="shared" si="0"/>
        <v>Piovani Adele</v>
      </c>
      <c r="N10" t="s">
        <v>403</v>
      </c>
      <c r="O10" t="s">
        <v>404</v>
      </c>
      <c r="P10">
        <v>2008</v>
      </c>
      <c r="Q10" t="s">
        <v>103</v>
      </c>
      <c r="R10" t="s">
        <v>6</v>
      </c>
    </row>
    <row r="11" spans="4:18" x14ac:dyDescent="0.25">
      <c r="E11" t="s">
        <v>435</v>
      </c>
      <c r="K11" t="str">
        <f t="shared" si="0"/>
        <v>Barbuscia Martina</v>
      </c>
      <c r="N11" t="s">
        <v>125</v>
      </c>
      <c r="O11" t="s">
        <v>405</v>
      </c>
      <c r="P11">
        <v>2009</v>
      </c>
      <c r="Q11" t="s">
        <v>103</v>
      </c>
      <c r="R11" t="s">
        <v>208</v>
      </c>
    </row>
    <row r="12" spans="4:18" x14ac:dyDescent="0.25">
      <c r="E12" t="s">
        <v>436</v>
      </c>
      <c r="K12" t="str">
        <f t="shared" si="0"/>
        <v>Taddeo Sofia</v>
      </c>
      <c r="N12" t="s">
        <v>336</v>
      </c>
      <c r="O12" t="s">
        <v>406</v>
      </c>
      <c r="P12">
        <v>2009</v>
      </c>
      <c r="Q12" t="s">
        <v>103</v>
      </c>
      <c r="R12" t="s">
        <v>5</v>
      </c>
    </row>
    <row r="13" spans="4:18" x14ac:dyDescent="0.25">
      <c r="E13" t="s">
        <v>437</v>
      </c>
      <c r="K13" t="str">
        <f t="shared" si="0"/>
        <v>Gozzi Giulia</v>
      </c>
      <c r="N13" t="s">
        <v>193</v>
      </c>
      <c r="O13" t="s">
        <v>407</v>
      </c>
      <c r="P13">
        <v>2002</v>
      </c>
      <c r="Q13" t="s">
        <v>103</v>
      </c>
      <c r="R13" t="s">
        <v>408</v>
      </c>
    </row>
    <row r="14" spans="4:18" x14ac:dyDescent="0.25">
      <c r="E14" t="s">
        <v>438</v>
      </c>
      <c r="K14" t="str">
        <f t="shared" si="0"/>
        <v>Trevisan Alice</v>
      </c>
      <c r="N14" t="s">
        <v>392</v>
      </c>
      <c r="O14" t="s">
        <v>409</v>
      </c>
      <c r="P14">
        <v>2010</v>
      </c>
      <c r="Q14" t="s">
        <v>103</v>
      </c>
      <c r="R14" t="s">
        <v>410</v>
      </c>
    </row>
    <row r="15" spans="4:18" x14ac:dyDescent="0.25">
      <c r="E15" t="s">
        <v>439</v>
      </c>
      <c r="K15" t="str">
        <f t="shared" si="0"/>
        <v>Zanellini Sara</v>
      </c>
      <c r="N15" t="s">
        <v>143</v>
      </c>
      <c r="O15" t="s">
        <v>411</v>
      </c>
      <c r="P15">
        <v>2003</v>
      </c>
      <c r="Q15" t="s">
        <v>103</v>
      </c>
      <c r="R15" t="s">
        <v>412</v>
      </c>
    </row>
    <row r="16" spans="4:18" x14ac:dyDescent="0.25">
      <c r="E16" t="s">
        <v>440</v>
      </c>
      <c r="K16" t="str">
        <f t="shared" si="0"/>
        <v>Lain Ilaria</v>
      </c>
      <c r="N16" t="s">
        <v>413</v>
      </c>
      <c r="O16" t="s">
        <v>414</v>
      </c>
      <c r="P16">
        <v>2000</v>
      </c>
      <c r="Q16" t="s">
        <v>103</v>
      </c>
      <c r="R16" t="s">
        <v>359</v>
      </c>
    </row>
    <row r="17" spans="5:18" x14ac:dyDescent="0.25">
      <c r="E17" t="s">
        <v>441</v>
      </c>
      <c r="K17" t="str">
        <f t="shared" si="0"/>
        <v>Tanic Marijana</v>
      </c>
      <c r="N17" t="s">
        <v>415</v>
      </c>
      <c r="O17" t="s">
        <v>416</v>
      </c>
      <c r="P17">
        <v>1993</v>
      </c>
      <c r="Q17" t="s">
        <v>417</v>
      </c>
      <c r="R17" t="s">
        <v>282</v>
      </c>
    </row>
    <row r="18" spans="5:18" x14ac:dyDescent="0.25">
      <c r="E18" t="s">
        <v>442</v>
      </c>
      <c r="K18" t="str">
        <f t="shared" si="0"/>
        <v>Ponti Lisa</v>
      </c>
      <c r="N18" t="s">
        <v>418</v>
      </c>
      <c r="O18" t="s">
        <v>419</v>
      </c>
      <c r="P18">
        <v>2003</v>
      </c>
      <c r="Q18" t="s">
        <v>103</v>
      </c>
      <c r="R18" t="s">
        <v>5</v>
      </c>
    </row>
    <row r="19" spans="5:18" x14ac:dyDescent="0.25">
      <c r="E19" t="s">
        <v>443</v>
      </c>
      <c r="K19" t="str">
        <f t="shared" si="0"/>
        <v>Laita Giulia</v>
      </c>
      <c r="N19" t="s">
        <v>193</v>
      </c>
      <c r="O19" t="s">
        <v>420</v>
      </c>
      <c r="P19">
        <v>2004</v>
      </c>
      <c r="Q19" t="s">
        <v>103</v>
      </c>
      <c r="R19" t="s">
        <v>421</v>
      </c>
    </row>
    <row r="20" spans="5:18" x14ac:dyDescent="0.25">
      <c r="E20" t="s">
        <v>444</v>
      </c>
      <c r="K20" t="str">
        <f t="shared" si="0"/>
        <v>Maggioni Miriam</v>
      </c>
      <c r="N20" t="s">
        <v>422</v>
      </c>
      <c r="O20" t="s">
        <v>423</v>
      </c>
      <c r="P20">
        <v>2009</v>
      </c>
      <c r="Q20" t="s">
        <v>103</v>
      </c>
      <c r="R20" t="s">
        <v>134</v>
      </c>
    </row>
    <row r="21" spans="5:18" x14ac:dyDescent="0.25">
      <c r="E21" t="s">
        <v>445</v>
      </c>
      <c r="K21" t="str">
        <f t="shared" si="0"/>
        <v>Macchi Asia</v>
      </c>
      <c r="N21" t="s">
        <v>424</v>
      </c>
      <c r="O21" t="s">
        <v>425</v>
      </c>
      <c r="P21">
        <v>2004</v>
      </c>
      <c r="Q21" t="s">
        <v>103</v>
      </c>
      <c r="R21" t="s">
        <v>134</v>
      </c>
    </row>
    <row r="22" spans="5:18" x14ac:dyDescent="0.25">
      <c r="E22" t="s">
        <v>446</v>
      </c>
      <c r="K22" t="str">
        <f t="shared" si="0"/>
        <v>Bassanese Alessandra</v>
      </c>
      <c r="N22" t="s">
        <v>426</v>
      </c>
      <c r="O22" t="s">
        <v>427</v>
      </c>
      <c r="P22">
        <v>1995</v>
      </c>
      <c r="Q22" t="s">
        <v>103</v>
      </c>
      <c r="R22" t="s">
        <v>394</v>
      </c>
    </row>
    <row r="23" spans="5:18" x14ac:dyDescent="0.25">
      <c r="E23" t="s">
        <v>447</v>
      </c>
      <c r="K23" t="str">
        <f t="shared" si="0"/>
        <v xml:space="preserve"> NOME E COGNOME</v>
      </c>
      <c r="N23" t="s">
        <v>163</v>
      </c>
      <c r="P23" t="s">
        <v>164</v>
      </c>
    </row>
    <row r="24" spans="5:18" x14ac:dyDescent="0.25">
      <c r="E24" t="s">
        <v>448</v>
      </c>
      <c r="K24" t="str">
        <f t="shared" si="0"/>
        <v>Kolec Davide</v>
      </c>
      <c r="N24" t="s">
        <v>428</v>
      </c>
      <c r="O24" t="s">
        <v>429</v>
      </c>
      <c r="P24" t="s">
        <v>167</v>
      </c>
    </row>
    <row r="30" spans="5:18" ht="17.25" x14ac:dyDescent="0.25">
      <c r="E30" s="2"/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2500-84AC-49CC-884F-C84D7BCC5A1C}">
  <dimension ref="D4:R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12.140625" bestFit="1" customWidth="1"/>
  </cols>
  <sheetData>
    <row r="4" spans="4:18" x14ac:dyDescent="0.25">
      <c r="E4" s="4" t="s">
        <v>92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Prela Angela</v>
      </c>
      <c r="N5" t="s">
        <v>223</v>
      </c>
      <c r="O5" t="s">
        <v>450</v>
      </c>
      <c r="P5">
        <v>2005</v>
      </c>
      <c r="Q5" t="s">
        <v>103</v>
      </c>
      <c r="R5" t="s">
        <v>5</v>
      </c>
    </row>
    <row r="6" spans="4:18" x14ac:dyDescent="0.25">
      <c r="E6" t="s">
        <v>486</v>
      </c>
      <c r="G6" t="s">
        <v>22</v>
      </c>
      <c r="K6" t="str">
        <f t="shared" ref="K6:K25" si="0">O6&amp;" "&amp;N6</f>
        <v>Meneghini Giorgia</v>
      </c>
      <c r="N6" t="s">
        <v>211</v>
      </c>
      <c r="O6" t="s">
        <v>451</v>
      </c>
      <c r="P6">
        <v>2005</v>
      </c>
      <c r="Q6" t="s">
        <v>103</v>
      </c>
      <c r="R6" t="s">
        <v>138</v>
      </c>
    </row>
    <row r="7" spans="4:18" x14ac:dyDescent="0.25">
      <c r="E7" t="s">
        <v>487</v>
      </c>
      <c r="G7" t="s">
        <v>1</v>
      </c>
      <c r="H7" t="s">
        <v>504</v>
      </c>
      <c r="K7" t="str">
        <f t="shared" si="0"/>
        <v>Broch Martina</v>
      </c>
      <c r="N7" t="s">
        <v>125</v>
      </c>
      <c r="O7" t="s">
        <v>452</v>
      </c>
      <c r="P7">
        <v>1999</v>
      </c>
      <c r="Q7" t="s">
        <v>103</v>
      </c>
      <c r="R7" t="s">
        <v>6</v>
      </c>
    </row>
    <row r="8" spans="4:18" x14ac:dyDescent="0.25">
      <c r="E8" t="s">
        <v>488</v>
      </c>
      <c r="G8" t="s">
        <v>2</v>
      </c>
      <c r="H8" t="s">
        <v>505</v>
      </c>
      <c r="K8" t="str">
        <f t="shared" si="0"/>
        <v>Enghianruwa Anabel</v>
      </c>
      <c r="N8" t="s">
        <v>453</v>
      </c>
      <c r="O8" t="s">
        <v>454</v>
      </c>
      <c r="P8">
        <v>2007</v>
      </c>
      <c r="Q8" t="s">
        <v>103</v>
      </c>
      <c r="R8" t="s">
        <v>6</v>
      </c>
    </row>
    <row r="9" spans="4:18" x14ac:dyDescent="0.25">
      <c r="E9" t="s">
        <v>489</v>
      </c>
      <c r="G9" t="s">
        <v>23</v>
      </c>
      <c r="K9" t="str">
        <f t="shared" si="0"/>
        <v>Ghonim Judy</v>
      </c>
      <c r="N9" t="s">
        <v>455</v>
      </c>
      <c r="O9" t="s">
        <v>456</v>
      </c>
      <c r="P9">
        <v>2007</v>
      </c>
      <c r="Q9" t="s">
        <v>457</v>
      </c>
      <c r="R9" t="s">
        <v>124</v>
      </c>
    </row>
    <row r="10" spans="4:18" x14ac:dyDescent="0.25">
      <c r="E10" t="s">
        <v>490</v>
      </c>
      <c r="G10" t="s">
        <v>3</v>
      </c>
      <c r="K10" t="str">
        <f t="shared" si="0"/>
        <v>Okorie Ifeoma</v>
      </c>
      <c r="N10" t="s">
        <v>458</v>
      </c>
      <c r="O10" t="s">
        <v>459</v>
      </c>
      <c r="P10">
        <v>2008</v>
      </c>
      <c r="Q10" t="s">
        <v>103</v>
      </c>
      <c r="R10" t="s">
        <v>134</v>
      </c>
    </row>
    <row r="11" spans="4:18" x14ac:dyDescent="0.25">
      <c r="E11" t="s">
        <v>491</v>
      </c>
      <c r="K11" t="str">
        <f t="shared" si="0"/>
        <v>Montero Mainten</v>
      </c>
      <c r="N11" t="s">
        <v>460</v>
      </c>
      <c r="O11" t="s">
        <v>461</v>
      </c>
      <c r="P11">
        <v>1999</v>
      </c>
      <c r="Q11" t="s">
        <v>103</v>
      </c>
      <c r="R11" t="s">
        <v>462</v>
      </c>
    </row>
    <row r="12" spans="4:18" x14ac:dyDescent="0.25">
      <c r="E12" t="s">
        <v>492</v>
      </c>
      <c r="K12" t="str">
        <f t="shared" si="0"/>
        <v>Onesti Rachele</v>
      </c>
      <c r="N12" t="s">
        <v>214</v>
      </c>
      <c r="O12" t="s">
        <v>463</v>
      </c>
      <c r="P12">
        <v>2006</v>
      </c>
      <c r="Q12" t="s">
        <v>103</v>
      </c>
      <c r="R12" t="s">
        <v>124</v>
      </c>
    </row>
    <row r="13" spans="4:18" x14ac:dyDescent="0.25">
      <c r="E13" t="s">
        <v>493</v>
      </c>
      <c r="K13" t="str">
        <f t="shared" si="0"/>
        <v>Nardomarino Mimie</v>
      </c>
      <c r="N13" t="s">
        <v>464</v>
      </c>
      <c r="O13" t="s">
        <v>465</v>
      </c>
      <c r="P13">
        <v>2005</v>
      </c>
      <c r="Q13" t="s">
        <v>103</v>
      </c>
      <c r="R13" t="s">
        <v>109</v>
      </c>
    </row>
    <row r="14" spans="4:18" x14ac:dyDescent="0.25">
      <c r="E14" t="s">
        <v>494</v>
      </c>
      <c r="K14" t="str">
        <f t="shared" si="0"/>
        <v>Balata Aurora</v>
      </c>
      <c r="N14" t="s">
        <v>466</v>
      </c>
      <c r="O14" t="s">
        <v>467</v>
      </c>
      <c r="P14">
        <v>2005</v>
      </c>
      <c r="Q14" t="s">
        <v>103</v>
      </c>
      <c r="R14" t="s">
        <v>119</v>
      </c>
    </row>
    <row r="15" spans="4:18" x14ac:dyDescent="0.25">
      <c r="E15" t="s">
        <v>495</v>
      </c>
      <c r="K15" t="str">
        <f t="shared" si="0"/>
        <v>Griggio Giorgia</v>
      </c>
      <c r="N15" t="s">
        <v>211</v>
      </c>
      <c r="O15" t="s">
        <v>468</v>
      </c>
      <c r="P15">
        <v>2007</v>
      </c>
      <c r="Q15" t="s">
        <v>103</v>
      </c>
      <c r="R15" t="s">
        <v>119</v>
      </c>
    </row>
    <row r="16" spans="4:18" x14ac:dyDescent="0.25">
      <c r="E16" t="s">
        <v>496</v>
      </c>
      <c r="K16" t="str">
        <f t="shared" si="0"/>
        <v>Rettore Nicole</v>
      </c>
      <c r="N16" t="s">
        <v>469</v>
      </c>
      <c r="O16" t="s">
        <v>470</v>
      </c>
      <c r="P16">
        <v>2008</v>
      </c>
      <c r="Q16" t="s">
        <v>103</v>
      </c>
      <c r="R16" t="s">
        <v>119</v>
      </c>
    </row>
    <row r="17" spans="5:18" x14ac:dyDescent="0.25">
      <c r="E17" t="s">
        <v>497</v>
      </c>
      <c r="K17" t="str">
        <f t="shared" si="0"/>
        <v>Bebli Letizia</v>
      </c>
      <c r="N17" t="s">
        <v>471</v>
      </c>
      <c r="O17" t="s">
        <v>472</v>
      </c>
      <c r="P17">
        <v>2009</v>
      </c>
      <c r="Q17" t="s">
        <v>103</v>
      </c>
      <c r="R17" t="s">
        <v>109</v>
      </c>
    </row>
    <row r="18" spans="5:18" x14ac:dyDescent="0.25">
      <c r="E18" t="s">
        <v>498</v>
      </c>
      <c r="K18" t="str">
        <f t="shared" si="0"/>
        <v>Bergamasco Ingrid</v>
      </c>
      <c r="N18" t="s">
        <v>473</v>
      </c>
      <c r="O18" t="s">
        <v>474</v>
      </c>
      <c r="P18">
        <v>2010</v>
      </c>
      <c r="Q18" t="s">
        <v>103</v>
      </c>
      <c r="R18" t="s">
        <v>5</v>
      </c>
    </row>
    <row r="19" spans="5:18" x14ac:dyDescent="0.25">
      <c r="E19" t="s">
        <v>499</v>
      </c>
      <c r="K19" t="str">
        <f t="shared" si="0"/>
        <v>Okorie Ada</v>
      </c>
      <c r="N19" t="s">
        <v>475</v>
      </c>
      <c r="O19" t="s">
        <v>459</v>
      </c>
      <c r="P19">
        <v>2011</v>
      </c>
      <c r="Q19" t="s">
        <v>103</v>
      </c>
      <c r="R19" t="s">
        <v>138</v>
      </c>
    </row>
    <row r="20" spans="5:18" x14ac:dyDescent="0.25">
      <c r="E20" t="s">
        <v>500</v>
      </c>
      <c r="K20" t="str">
        <f t="shared" si="0"/>
        <v>Vasile Desiree</v>
      </c>
      <c r="N20" t="s">
        <v>476</v>
      </c>
      <c r="O20" t="s">
        <v>477</v>
      </c>
      <c r="P20">
        <v>2010</v>
      </c>
      <c r="Q20" t="s">
        <v>148</v>
      </c>
      <c r="R20" t="s">
        <v>6</v>
      </c>
    </row>
    <row r="21" spans="5:18" x14ac:dyDescent="0.25">
      <c r="E21" t="s">
        <v>501</v>
      </c>
      <c r="K21" t="str">
        <f t="shared" si="0"/>
        <v>Raicu Aurora</v>
      </c>
      <c r="N21" t="s">
        <v>466</v>
      </c>
      <c r="O21" t="s">
        <v>478</v>
      </c>
      <c r="P21">
        <v>2010</v>
      </c>
      <c r="Q21" t="s">
        <v>148</v>
      </c>
      <c r="R21" t="s">
        <v>119</v>
      </c>
    </row>
    <row r="22" spans="5:18" x14ac:dyDescent="0.25">
      <c r="E22" t="s">
        <v>502</v>
      </c>
      <c r="K22" t="str">
        <f t="shared" si="0"/>
        <v>Giardini Agata</v>
      </c>
      <c r="N22" t="s">
        <v>479</v>
      </c>
      <c r="O22" t="s">
        <v>480</v>
      </c>
      <c r="P22">
        <v>2010</v>
      </c>
      <c r="Q22" t="s">
        <v>103</v>
      </c>
      <c r="R22" t="s">
        <v>134</v>
      </c>
    </row>
    <row r="23" spans="5:18" x14ac:dyDescent="0.25">
      <c r="E23" t="s">
        <v>503</v>
      </c>
      <c r="K23" t="str">
        <f t="shared" si="0"/>
        <v xml:space="preserve"> NOME E COGNOME</v>
      </c>
      <c r="N23" t="s">
        <v>163</v>
      </c>
      <c r="P23" t="s">
        <v>164</v>
      </c>
    </row>
    <row r="24" spans="5:18" x14ac:dyDescent="0.25">
      <c r="K24" t="str">
        <f t="shared" si="0"/>
        <v>Marchionni Mauro</v>
      </c>
      <c r="N24" t="s">
        <v>481</v>
      </c>
      <c r="O24" t="s">
        <v>482</v>
      </c>
      <c r="P24" t="s">
        <v>167</v>
      </c>
    </row>
    <row r="25" spans="5:18" x14ac:dyDescent="0.25">
      <c r="K25" t="str">
        <f t="shared" si="0"/>
        <v>Filiciotto Mario</v>
      </c>
      <c r="N25" t="s">
        <v>483</v>
      </c>
      <c r="O25" t="s">
        <v>484</v>
      </c>
      <c r="P25" t="s">
        <v>485</v>
      </c>
    </row>
    <row r="30" spans="5:18" ht="17.25" x14ac:dyDescent="0.25">
      <c r="E30" s="2"/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62CD-F676-4AB1-BDCA-F470414FAB49}">
  <dimension ref="D4:R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18" x14ac:dyDescent="0.25">
      <c r="E4" s="4" t="s">
        <v>506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Basolu Silvia</v>
      </c>
      <c r="N5" t="s">
        <v>507</v>
      </c>
      <c r="O5" t="s">
        <v>508</v>
      </c>
      <c r="P5">
        <v>1997</v>
      </c>
      <c r="Q5" t="s">
        <v>103</v>
      </c>
      <c r="R5" t="s">
        <v>509</v>
      </c>
    </row>
    <row r="6" spans="4:18" x14ac:dyDescent="0.25">
      <c r="E6" t="s">
        <v>542</v>
      </c>
      <c r="G6" t="s">
        <v>22</v>
      </c>
      <c r="K6" t="str">
        <f t="shared" ref="K6:K24" si="0">O6&amp;" "&amp;N6</f>
        <v>Calia Martina </v>
      </c>
      <c r="N6" t="s">
        <v>510</v>
      </c>
      <c r="O6" t="s">
        <v>511</v>
      </c>
      <c r="P6">
        <v>2011</v>
      </c>
      <c r="Q6" t="s">
        <v>103</v>
      </c>
      <c r="R6" t="s">
        <v>124</v>
      </c>
    </row>
    <row r="7" spans="4:18" x14ac:dyDescent="0.25">
      <c r="E7" t="s">
        <v>543</v>
      </c>
      <c r="G7" t="s">
        <v>1</v>
      </c>
      <c r="H7" t="s">
        <v>541</v>
      </c>
      <c r="K7" t="str">
        <f t="shared" si="0"/>
        <v>Floris Alessia </v>
      </c>
      <c r="N7" t="s">
        <v>512</v>
      </c>
      <c r="O7" t="s">
        <v>513</v>
      </c>
      <c r="P7">
        <v>2011</v>
      </c>
      <c r="Q7" t="s">
        <v>103</v>
      </c>
      <c r="R7" t="s">
        <v>119</v>
      </c>
    </row>
    <row r="8" spans="4:18" x14ac:dyDescent="0.25">
      <c r="E8" t="s">
        <v>544</v>
      </c>
      <c r="G8" t="s">
        <v>2</v>
      </c>
      <c r="K8" t="str">
        <f t="shared" si="0"/>
        <v>Floris Martina</v>
      </c>
      <c r="N8" t="s">
        <v>125</v>
      </c>
      <c r="O8" t="s">
        <v>513</v>
      </c>
      <c r="P8">
        <v>2011</v>
      </c>
      <c r="Q8" t="s">
        <v>103</v>
      </c>
      <c r="R8" t="s">
        <v>514</v>
      </c>
    </row>
    <row r="9" spans="4:18" x14ac:dyDescent="0.25">
      <c r="E9" t="s">
        <v>545</v>
      </c>
      <c r="G9" t="s">
        <v>23</v>
      </c>
      <c r="K9" t="str">
        <f t="shared" si="0"/>
        <v>Fois Giorgia</v>
      </c>
      <c r="N9" t="s">
        <v>211</v>
      </c>
      <c r="O9" t="s">
        <v>515</v>
      </c>
      <c r="P9">
        <v>2010</v>
      </c>
      <c r="Q9" t="s">
        <v>103</v>
      </c>
      <c r="R9" t="s">
        <v>134</v>
      </c>
    </row>
    <row r="10" spans="4:18" x14ac:dyDescent="0.25">
      <c r="E10" t="s">
        <v>546</v>
      </c>
      <c r="G10" t="s">
        <v>3</v>
      </c>
      <c r="K10" t="str">
        <f t="shared" si="0"/>
        <v>Fois Giulia</v>
      </c>
      <c r="N10" t="s">
        <v>193</v>
      </c>
      <c r="O10" t="s">
        <v>515</v>
      </c>
      <c r="P10">
        <v>2003</v>
      </c>
      <c r="Q10" t="s">
        <v>103</v>
      </c>
      <c r="R10" t="s">
        <v>134</v>
      </c>
    </row>
    <row r="11" spans="4:18" x14ac:dyDescent="0.25">
      <c r="E11" t="s">
        <v>547</v>
      </c>
      <c r="K11" t="str">
        <f t="shared" si="0"/>
        <v>Ganga Enrica</v>
      </c>
      <c r="N11" t="s">
        <v>516</v>
      </c>
      <c r="O11" t="s">
        <v>517</v>
      </c>
      <c r="P11">
        <v>1999</v>
      </c>
      <c r="Q11" t="s">
        <v>103</v>
      </c>
      <c r="R11" t="s">
        <v>119</v>
      </c>
    </row>
    <row r="12" spans="4:18" x14ac:dyDescent="0.25">
      <c r="E12" t="s">
        <v>548</v>
      </c>
      <c r="K12" t="str">
        <f t="shared" si="0"/>
        <v>Herranz Reyes  Danielys</v>
      </c>
      <c r="N12" t="s">
        <v>518</v>
      </c>
      <c r="O12" t="s">
        <v>519</v>
      </c>
      <c r="P12">
        <v>1999</v>
      </c>
      <c r="Q12" t="s">
        <v>520</v>
      </c>
      <c r="R12" t="s">
        <v>6</v>
      </c>
    </row>
    <row r="13" spans="4:18" x14ac:dyDescent="0.25">
      <c r="E13" t="s">
        <v>549</v>
      </c>
      <c r="K13" t="str">
        <f t="shared" si="0"/>
        <v>Lostia Antonella</v>
      </c>
      <c r="N13" t="s">
        <v>521</v>
      </c>
      <c r="O13" t="s">
        <v>522</v>
      </c>
      <c r="P13">
        <v>1994</v>
      </c>
      <c r="Q13" t="s">
        <v>103</v>
      </c>
      <c r="R13" t="s">
        <v>6</v>
      </c>
    </row>
    <row r="14" spans="4:18" x14ac:dyDescent="0.25">
      <c r="E14" t="s">
        <v>550</v>
      </c>
      <c r="K14" t="str">
        <f t="shared" si="0"/>
        <v>Mazzitelli Valeria</v>
      </c>
      <c r="N14" t="s">
        <v>523</v>
      </c>
      <c r="O14" t="s">
        <v>524</v>
      </c>
      <c r="P14">
        <v>2002</v>
      </c>
      <c r="Q14" t="s">
        <v>103</v>
      </c>
      <c r="R14" t="s">
        <v>134</v>
      </c>
    </row>
    <row r="15" spans="4:18" x14ac:dyDescent="0.25">
      <c r="E15" t="s">
        <v>551</v>
      </c>
      <c r="K15" t="str">
        <f t="shared" si="0"/>
        <v>Mereu Marianna</v>
      </c>
      <c r="N15" t="s">
        <v>206</v>
      </c>
      <c r="O15" t="s">
        <v>525</v>
      </c>
      <c r="P15">
        <v>2009</v>
      </c>
      <c r="Q15" t="s">
        <v>103</v>
      </c>
      <c r="R15" t="s">
        <v>134</v>
      </c>
    </row>
    <row r="16" spans="4:18" x14ac:dyDescent="0.25">
      <c r="E16" t="s">
        <v>552</v>
      </c>
      <c r="K16" t="str">
        <f t="shared" si="0"/>
        <v>Mirotta Cabanas Agustina</v>
      </c>
      <c r="N16" t="s">
        <v>219</v>
      </c>
      <c r="O16" t="s">
        <v>526</v>
      </c>
      <c r="P16">
        <v>1995</v>
      </c>
      <c r="Q16" t="s">
        <v>527</v>
      </c>
      <c r="R16" t="s">
        <v>119</v>
      </c>
    </row>
    <row r="17" spans="5:18" x14ac:dyDescent="0.25">
      <c r="E17" t="s">
        <v>553</v>
      </c>
      <c r="K17" t="str">
        <f t="shared" si="0"/>
        <v>Nkou Josephine Line Maxime</v>
      </c>
      <c r="N17" t="s">
        <v>528</v>
      </c>
      <c r="O17" t="s">
        <v>529</v>
      </c>
      <c r="P17">
        <v>1997</v>
      </c>
      <c r="Q17" t="s">
        <v>160</v>
      </c>
      <c r="R17" t="s">
        <v>5</v>
      </c>
    </row>
    <row r="18" spans="5:18" x14ac:dyDescent="0.25">
      <c r="E18" t="s">
        <v>554</v>
      </c>
      <c r="K18" t="str">
        <f t="shared" si="0"/>
        <v>Podda Luisella</v>
      </c>
      <c r="N18" t="s">
        <v>530</v>
      </c>
      <c r="O18" t="s">
        <v>531</v>
      </c>
      <c r="P18">
        <v>2002</v>
      </c>
      <c r="Q18" t="s">
        <v>103</v>
      </c>
      <c r="R18" t="s">
        <v>119</v>
      </c>
    </row>
    <row r="19" spans="5:18" x14ac:dyDescent="0.25">
      <c r="E19" t="s">
        <v>555</v>
      </c>
      <c r="K19" t="str">
        <f t="shared" si="0"/>
        <v>Sias Nicole</v>
      </c>
      <c r="N19" t="s">
        <v>469</v>
      </c>
      <c r="O19" t="s">
        <v>532</v>
      </c>
      <c r="P19">
        <v>2012</v>
      </c>
      <c r="Q19" t="s">
        <v>103</v>
      </c>
      <c r="R19" t="s">
        <v>124</v>
      </c>
    </row>
    <row r="20" spans="5:18" x14ac:dyDescent="0.25">
      <c r="E20" t="s">
        <v>556</v>
      </c>
      <c r="K20" t="str">
        <f t="shared" si="0"/>
        <v>Suberic Katarina</v>
      </c>
      <c r="N20" t="s">
        <v>533</v>
      </c>
      <c r="O20" t="s">
        <v>534</v>
      </c>
      <c r="P20">
        <v>1996</v>
      </c>
      <c r="Q20" t="s">
        <v>535</v>
      </c>
      <c r="R20" t="s">
        <v>138</v>
      </c>
    </row>
    <row r="21" spans="5:18" x14ac:dyDescent="0.25">
      <c r="E21" t="s">
        <v>557</v>
      </c>
      <c r="K21" t="str">
        <f t="shared" si="0"/>
        <v>Radovic Sandra </v>
      </c>
      <c r="N21" t="s">
        <v>536</v>
      </c>
      <c r="O21" t="s">
        <v>537</v>
      </c>
      <c r="P21">
        <v>1998</v>
      </c>
      <c r="Q21" t="s">
        <v>417</v>
      </c>
      <c r="R21" t="s">
        <v>124</v>
      </c>
    </row>
    <row r="22" spans="5:18" x14ac:dyDescent="0.25">
      <c r="E22" t="s">
        <v>558</v>
      </c>
      <c r="K22" t="str">
        <f t="shared" si="0"/>
        <v>Zedda Aurora</v>
      </c>
      <c r="N22" t="s">
        <v>466</v>
      </c>
      <c r="O22" t="s">
        <v>538</v>
      </c>
      <c r="P22">
        <v>2011</v>
      </c>
      <c r="Q22" t="s">
        <v>103</v>
      </c>
      <c r="R22" t="s">
        <v>5</v>
      </c>
    </row>
    <row r="23" spans="5:18" x14ac:dyDescent="0.25">
      <c r="E23" t="s">
        <v>559</v>
      </c>
      <c r="K23" t="str">
        <f t="shared" si="0"/>
        <v xml:space="preserve"> NOME E COGNOME</v>
      </c>
      <c r="N23" t="s">
        <v>163</v>
      </c>
      <c r="P23" t="s">
        <v>164</v>
      </c>
    </row>
    <row r="24" spans="5:18" x14ac:dyDescent="0.25">
      <c r="K24" t="str">
        <f t="shared" si="0"/>
        <v>Deiana Roberto</v>
      </c>
      <c r="N24" t="s">
        <v>539</v>
      </c>
      <c r="O24" t="s">
        <v>540</v>
      </c>
      <c r="P24" t="s">
        <v>167</v>
      </c>
    </row>
    <row r="30" spans="5:18" ht="17.25" x14ac:dyDescent="0.25">
      <c r="E30" s="2"/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A9E5-FF76-46D1-91A3-53E764B924DD}">
  <dimension ref="D4:R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28.42578125" bestFit="1" customWidth="1"/>
  </cols>
  <sheetData>
    <row r="4" spans="4:18" x14ac:dyDescent="0.25">
      <c r="E4" s="4" t="s">
        <v>96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Andreani Sara</v>
      </c>
      <c r="N5" t="s">
        <v>143</v>
      </c>
      <c r="O5" t="s">
        <v>618</v>
      </c>
      <c r="P5">
        <v>2003</v>
      </c>
      <c r="Q5" t="s">
        <v>103</v>
      </c>
      <c r="R5" t="s">
        <v>134</v>
      </c>
    </row>
    <row r="6" spans="4:18" x14ac:dyDescent="0.25">
      <c r="E6" t="s">
        <v>657</v>
      </c>
      <c r="G6" t="s">
        <v>22</v>
      </c>
      <c r="K6" t="str">
        <f t="shared" ref="K6:K30" si="0">O6&amp;" "&amp;N6</f>
        <v>Anelli Lara Andrea</v>
      </c>
      <c r="N6" t="s">
        <v>619</v>
      </c>
      <c r="O6" t="s">
        <v>620</v>
      </c>
      <c r="P6">
        <v>2001</v>
      </c>
      <c r="Q6" t="s">
        <v>103</v>
      </c>
      <c r="R6" t="s">
        <v>5</v>
      </c>
    </row>
    <row r="7" spans="4:18" x14ac:dyDescent="0.25">
      <c r="E7" t="s">
        <v>658</v>
      </c>
      <c r="G7" t="s">
        <v>1</v>
      </c>
      <c r="H7" t="s">
        <v>681</v>
      </c>
      <c r="K7" t="str">
        <f t="shared" si="0"/>
        <v>Ateba Engadi Laeticia Petronie</v>
      </c>
      <c r="N7" t="s">
        <v>621</v>
      </c>
      <c r="O7" t="s">
        <v>622</v>
      </c>
      <c r="P7">
        <v>2001</v>
      </c>
      <c r="Q7" t="s">
        <v>623</v>
      </c>
      <c r="R7" t="s">
        <v>124</v>
      </c>
    </row>
    <row r="8" spans="4:18" x14ac:dyDescent="0.25">
      <c r="E8" t="s">
        <v>659</v>
      </c>
      <c r="G8" t="s">
        <v>2</v>
      </c>
      <c r="K8" t="str">
        <f t="shared" si="0"/>
        <v>Bigolin Erika</v>
      </c>
      <c r="N8" t="s">
        <v>198</v>
      </c>
      <c r="O8" t="s">
        <v>624</v>
      </c>
      <c r="P8">
        <v>2006</v>
      </c>
      <c r="Q8" t="s">
        <v>103</v>
      </c>
      <c r="R8" t="s">
        <v>5</v>
      </c>
    </row>
    <row r="9" spans="4:18" x14ac:dyDescent="0.25">
      <c r="E9" t="s">
        <v>660</v>
      </c>
      <c r="G9" t="s">
        <v>23</v>
      </c>
      <c r="K9" t="str">
        <f t="shared" si="0"/>
        <v>Bonometti Sara</v>
      </c>
      <c r="N9" t="s">
        <v>143</v>
      </c>
      <c r="O9" t="s">
        <v>625</v>
      </c>
      <c r="P9">
        <v>2007</v>
      </c>
      <c r="Q9" t="s">
        <v>103</v>
      </c>
      <c r="R9" t="s">
        <v>109</v>
      </c>
    </row>
    <row r="10" spans="4:18" x14ac:dyDescent="0.25">
      <c r="E10" t="s">
        <v>661</v>
      </c>
      <c r="G10" t="s">
        <v>3</v>
      </c>
      <c r="K10" t="str">
        <f t="shared" si="0"/>
        <v>Bonometti Sofia</v>
      </c>
      <c r="N10" t="s">
        <v>336</v>
      </c>
      <c r="O10" t="s">
        <v>625</v>
      </c>
      <c r="P10">
        <v>2009</v>
      </c>
      <c r="Q10" t="s">
        <v>103</v>
      </c>
      <c r="R10" t="s">
        <v>119</v>
      </c>
    </row>
    <row r="11" spans="4:18" x14ac:dyDescent="0.25">
      <c r="E11" t="s">
        <v>662</v>
      </c>
      <c r="K11" t="str">
        <f t="shared" si="0"/>
        <v>D’Ambrosio Giuseppina</v>
      </c>
      <c r="N11" t="s">
        <v>626</v>
      </c>
      <c r="O11" t="s">
        <v>627</v>
      </c>
      <c r="P11">
        <v>2001</v>
      </c>
      <c r="Q11" t="s">
        <v>103</v>
      </c>
      <c r="R11" t="s">
        <v>119</v>
      </c>
    </row>
    <row r="12" spans="4:18" x14ac:dyDescent="0.25">
      <c r="E12" t="s">
        <v>663</v>
      </c>
      <c r="K12" t="str">
        <f t="shared" si="0"/>
        <v>Emanuelli Camilla</v>
      </c>
      <c r="N12" t="s">
        <v>344</v>
      </c>
      <c r="O12" t="s">
        <v>628</v>
      </c>
      <c r="P12">
        <v>2005</v>
      </c>
      <c r="Q12" t="s">
        <v>103</v>
      </c>
      <c r="R12" t="s">
        <v>6</v>
      </c>
    </row>
    <row r="13" spans="4:18" x14ac:dyDescent="0.25">
      <c r="E13" t="s">
        <v>664</v>
      </c>
      <c r="K13" t="str">
        <f t="shared" si="0"/>
        <v>Faig Iuliana</v>
      </c>
      <c r="N13" t="s">
        <v>629</v>
      </c>
      <c r="O13" t="s">
        <v>630</v>
      </c>
      <c r="P13">
        <v>1995</v>
      </c>
      <c r="Q13" t="s">
        <v>148</v>
      </c>
      <c r="R13" t="s">
        <v>131</v>
      </c>
    </row>
    <row r="14" spans="4:18" x14ac:dyDescent="0.25">
      <c r="E14" t="s">
        <v>665</v>
      </c>
      <c r="K14" t="str">
        <f t="shared" si="0"/>
        <v>Favalli Isabella</v>
      </c>
      <c r="N14" t="s">
        <v>631</v>
      </c>
      <c r="O14" t="s">
        <v>632</v>
      </c>
      <c r="P14">
        <v>2009</v>
      </c>
      <c r="Q14" t="s">
        <v>103</v>
      </c>
      <c r="R14" t="s">
        <v>6</v>
      </c>
    </row>
    <row r="15" spans="4:18" x14ac:dyDescent="0.25">
      <c r="E15" t="s">
        <v>666</v>
      </c>
      <c r="K15" t="str">
        <f t="shared" si="0"/>
        <v>Kaur Jasleen</v>
      </c>
      <c r="N15" t="s">
        <v>633</v>
      </c>
      <c r="O15" t="s">
        <v>634</v>
      </c>
      <c r="P15">
        <v>2009</v>
      </c>
      <c r="Q15" t="s">
        <v>103</v>
      </c>
      <c r="R15" t="s">
        <v>134</v>
      </c>
    </row>
    <row r="16" spans="4:18" x14ac:dyDescent="0.25">
      <c r="E16" t="s">
        <v>667</v>
      </c>
      <c r="K16" t="str">
        <f t="shared" si="0"/>
        <v>Kellner Rachel</v>
      </c>
      <c r="N16" t="s">
        <v>635</v>
      </c>
      <c r="O16" t="s">
        <v>636</v>
      </c>
      <c r="P16">
        <v>2005</v>
      </c>
      <c r="Q16" t="s">
        <v>103</v>
      </c>
      <c r="R16" t="s">
        <v>109</v>
      </c>
    </row>
    <row r="17" spans="5:18" x14ac:dyDescent="0.25">
      <c r="E17" t="s">
        <v>668</v>
      </c>
      <c r="K17" t="str">
        <f t="shared" si="0"/>
        <v>Kovtun Olena</v>
      </c>
      <c r="N17" t="s">
        <v>637</v>
      </c>
      <c r="O17" t="s">
        <v>638</v>
      </c>
      <c r="P17">
        <v>1998</v>
      </c>
      <c r="Q17" t="s">
        <v>639</v>
      </c>
      <c r="R17" t="s">
        <v>119</v>
      </c>
    </row>
    <row r="18" spans="5:18" x14ac:dyDescent="0.25">
      <c r="E18" t="s">
        <v>669</v>
      </c>
      <c r="K18" t="str">
        <f t="shared" si="0"/>
        <v>Lavagnini Giulia Maria</v>
      </c>
      <c r="N18" t="s">
        <v>640</v>
      </c>
      <c r="O18" t="s">
        <v>641</v>
      </c>
      <c r="P18">
        <v>2005</v>
      </c>
      <c r="Q18" t="s">
        <v>103</v>
      </c>
      <c r="R18" t="s">
        <v>109</v>
      </c>
    </row>
    <row r="19" spans="5:18" x14ac:dyDescent="0.25">
      <c r="E19" t="s">
        <v>670</v>
      </c>
      <c r="K19" t="str">
        <f t="shared" si="0"/>
        <v>Lavagnini Mara</v>
      </c>
      <c r="N19" t="s">
        <v>274</v>
      </c>
      <c r="O19" t="s">
        <v>641</v>
      </c>
      <c r="P19">
        <v>2003</v>
      </c>
      <c r="Q19" t="s">
        <v>103</v>
      </c>
      <c r="R19" t="s">
        <v>119</v>
      </c>
    </row>
    <row r="20" spans="5:18" x14ac:dyDescent="0.25">
      <c r="E20" t="s">
        <v>671</v>
      </c>
      <c r="K20" t="str">
        <f t="shared" si="0"/>
        <v>Lumaraku Viola</v>
      </c>
      <c r="N20" t="s">
        <v>348</v>
      </c>
      <c r="O20" t="s">
        <v>642</v>
      </c>
      <c r="P20">
        <v>2009</v>
      </c>
      <c r="Q20" t="s">
        <v>103</v>
      </c>
      <c r="R20" t="s">
        <v>131</v>
      </c>
    </row>
    <row r="21" spans="5:18" x14ac:dyDescent="0.25">
      <c r="E21" t="s">
        <v>672</v>
      </c>
      <c r="K21" t="str">
        <f t="shared" si="0"/>
        <v>Masi Schonherr Sille</v>
      </c>
      <c r="N21" t="s">
        <v>643</v>
      </c>
      <c r="O21" t="s">
        <v>644</v>
      </c>
      <c r="P21">
        <v>2005</v>
      </c>
      <c r="Q21" t="s">
        <v>572</v>
      </c>
      <c r="R21" t="s">
        <v>5</v>
      </c>
    </row>
    <row r="22" spans="5:18" x14ac:dyDescent="0.25">
      <c r="E22" t="s">
        <v>673</v>
      </c>
      <c r="K22" t="str">
        <f t="shared" si="0"/>
        <v>Moulahi Sara</v>
      </c>
      <c r="N22" t="s">
        <v>143</v>
      </c>
      <c r="O22" t="s">
        <v>645</v>
      </c>
      <c r="P22">
        <v>2009</v>
      </c>
      <c r="Q22" t="s">
        <v>103</v>
      </c>
      <c r="R22" t="s">
        <v>5</v>
      </c>
    </row>
    <row r="23" spans="5:18" x14ac:dyDescent="0.25">
      <c r="E23" t="s">
        <v>674</v>
      </c>
      <c r="K23" t="str">
        <f t="shared" si="0"/>
        <v>Oliveri Laure</v>
      </c>
      <c r="N23" t="s">
        <v>646</v>
      </c>
      <c r="O23" t="s">
        <v>647</v>
      </c>
      <c r="P23">
        <v>1983</v>
      </c>
      <c r="Q23" t="s">
        <v>103</v>
      </c>
      <c r="R23" t="s">
        <v>119</v>
      </c>
    </row>
    <row r="24" spans="5:18" x14ac:dyDescent="0.25">
      <c r="E24" t="s">
        <v>675</v>
      </c>
      <c r="K24" t="str">
        <f t="shared" si="0"/>
        <v>Plazzotta Adele</v>
      </c>
      <c r="N24" t="s">
        <v>403</v>
      </c>
      <c r="O24" t="s">
        <v>648</v>
      </c>
      <c r="P24">
        <v>2006</v>
      </c>
      <c r="Q24" t="s">
        <v>103</v>
      </c>
      <c r="R24" t="s">
        <v>131</v>
      </c>
    </row>
    <row r="25" spans="5:18" x14ac:dyDescent="0.25">
      <c r="E25" t="s">
        <v>676</v>
      </c>
      <c r="K25" t="str">
        <f t="shared" si="0"/>
        <v>Ramazzotti Romina</v>
      </c>
      <c r="N25" t="s">
        <v>649</v>
      </c>
      <c r="O25" t="s">
        <v>650</v>
      </c>
      <c r="P25">
        <v>1994</v>
      </c>
      <c r="Q25" t="s">
        <v>240</v>
      </c>
      <c r="R25" t="s">
        <v>6</v>
      </c>
    </row>
    <row r="26" spans="5:18" x14ac:dyDescent="0.25">
      <c r="E26" t="s">
        <v>677</v>
      </c>
      <c r="K26" t="str">
        <f t="shared" si="0"/>
        <v>Telò Ludovica</v>
      </c>
      <c r="N26" t="s">
        <v>651</v>
      </c>
      <c r="O26" t="s">
        <v>652</v>
      </c>
      <c r="P26">
        <v>2001</v>
      </c>
      <c r="Q26" t="s">
        <v>103</v>
      </c>
      <c r="R26" t="s">
        <v>109</v>
      </c>
    </row>
    <row r="27" spans="5:18" x14ac:dyDescent="0.25">
      <c r="E27" t="s">
        <v>678</v>
      </c>
      <c r="K27" t="str">
        <f t="shared" si="0"/>
        <v>Tescione Laura</v>
      </c>
      <c r="N27" t="s">
        <v>342</v>
      </c>
      <c r="O27" t="s">
        <v>653</v>
      </c>
      <c r="P27">
        <v>2005</v>
      </c>
      <c r="Q27" t="s">
        <v>103</v>
      </c>
      <c r="R27" t="s">
        <v>134</v>
      </c>
    </row>
    <row r="28" spans="5:18" x14ac:dyDescent="0.25">
      <c r="E28" t="s">
        <v>679</v>
      </c>
      <c r="K28" t="str">
        <f t="shared" si="0"/>
        <v>Sbalchiero Silvia</v>
      </c>
      <c r="N28" t="s">
        <v>507</v>
      </c>
      <c r="O28" t="s">
        <v>654</v>
      </c>
      <c r="P28">
        <v>2006</v>
      </c>
      <c r="Q28" t="s">
        <v>103</v>
      </c>
      <c r="R28" t="s">
        <v>124</v>
      </c>
    </row>
    <row r="29" spans="5:18" x14ac:dyDescent="0.25">
      <c r="E29" t="s">
        <v>680</v>
      </c>
      <c r="K29" t="str">
        <f t="shared" si="0"/>
        <v xml:space="preserve"> NOME E COGNOME</v>
      </c>
      <c r="N29" t="s">
        <v>163</v>
      </c>
      <c r="P29" t="s">
        <v>164</v>
      </c>
    </row>
    <row r="30" spans="5:18" ht="17.25" x14ac:dyDescent="0.25">
      <c r="E30" s="2"/>
      <c r="K30" t="str">
        <f t="shared" si="0"/>
        <v>Ortuno Serra Arnau</v>
      </c>
      <c r="N30" t="s">
        <v>655</v>
      </c>
      <c r="O30" t="s">
        <v>656</v>
      </c>
      <c r="P30" t="s">
        <v>167</v>
      </c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6E52-3377-4F4F-8A3E-2C0C084E6904}">
  <dimension ref="D4:R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1" max="11" width="30.28515625" bestFit="1" customWidth="1"/>
  </cols>
  <sheetData>
    <row r="4" spans="4:18" x14ac:dyDescent="0.25">
      <c r="E4" s="4" t="s">
        <v>97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Amplatz Emely</v>
      </c>
      <c r="N5" t="s">
        <v>682</v>
      </c>
      <c r="O5" t="s">
        <v>683</v>
      </c>
      <c r="P5">
        <v>2007</v>
      </c>
      <c r="Q5" t="s">
        <v>103</v>
      </c>
      <c r="R5" t="s">
        <v>131</v>
      </c>
    </row>
    <row r="6" spans="4:18" x14ac:dyDescent="0.25">
      <c r="E6" t="s">
        <v>726</v>
      </c>
      <c r="G6" t="s">
        <v>22</v>
      </c>
      <c r="K6" t="str">
        <f t="shared" ref="K6:K31" si="0">O6&amp;" "&amp;N6</f>
        <v>Bernardelle Chiara</v>
      </c>
      <c r="N6" t="s">
        <v>141</v>
      </c>
      <c r="O6" t="s">
        <v>684</v>
      </c>
      <c r="P6">
        <v>2001</v>
      </c>
      <c r="Q6" t="s">
        <v>103</v>
      </c>
      <c r="R6" t="s">
        <v>5</v>
      </c>
    </row>
    <row r="7" spans="4:18" x14ac:dyDescent="0.25">
      <c r="E7" t="s">
        <v>727</v>
      </c>
      <c r="G7" t="s">
        <v>1</v>
      </c>
      <c r="H7" t="s">
        <v>749</v>
      </c>
      <c r="K7" t="str">
        <f t="shared" si="0"/>
        <v>Campestrini Annachiara</v>
      </c>
      <c r="N7" t="s">
        <v>685</v>
      </c>
      <c r="O7" t="s">
        <v>686</v>
      </c>
      <c r="P7">
        <v>2003</v>
      </c>
      <c r="Q7" t="s">
        <v>103</v>
      </c>
      <c r="R7" t="s">
        <v>131</v>
      </c>
    </row>
    <row r="8" spans="4:18" x14ac:dyDescent="0.25">
      <c r="E8" t="s">
        <v>728</v>
      </c>
      <c r="G8" t="s">
        <v>2</v>
      </c>
      <c r="H8" t="s">
        <v>750</v>
      </c>
      <c r="K8" t="str">
        <f t="shared" si="0"/>
        <v>Coati Noemi</v>
      </c>
      <c r="N8" t="s">
        <v>687</v>
      </c>
      <c r="O8" t="s">
        <v>688</v>
      </c>
      <c r="P8">
        <v>2004</v>
      </c>
      <c r="Q8" t="s">
        <v>103</v>
      </c>
      <c r="R8" t="s">
        <v>134</v>
      </c>
    </row>
    <row r="9" spans="4:18" x14ac:dyDescent="0.25">
      <c r="E9" t="s">
        <v>729</v>
      </c>
      <c r="G9" t="s">
        <v>23</v>
      </c>
      <c r="H9" t="s">
        <v>751</v>
      </c>
      <c r="K9" t="str">
        <f t="shared" si="0"/>
        <v>Coser Anja</v>
      </c>
      <c r="N9" t="s">
        <v>689</v>
      </c>
      <c r="O9" t="s">
        <v>690</v>
      </c>
      <c r="P9">
        <v>2007</v>
      </c>
      <c r="Q9" t="s">
        <v>103</v>
      </c>
      <c r="R9" t="s">
        <v>134</v>
      </c>
    </row>
    <row r="10" spans="4:18" x14ac:dyDescent="0.25">
      <c r="E10" t="s">
        <v>730</v>
      </c>
      <c r="G10" t="s">
        <v>3</v>
      </c>
      <c r="K10" t="str">
        <f t="shared" si="0"/>
        <v>Dalla Valle Luisa</v>
      </c>
      <c r="N10" t="s">
        <v>691</v>
      </c>
      <c r="O10" t="s">
        <v>692</v>
      </c>
      <c r="P10">
        <v>2001</v>
      </c>
      <c r="Q10" t="s">
        <v>103</v>
      </c>
      <c r="R10" t="s">
        <v>514</v>
      </c>
    </row>
    <row r="11" spans="4:18" x14ac:dyDescent="0.25">
      <c r="E11" t="s">
        <v>731</v>
      </c>
      <c r="K11" t="str">
        <f t="shared" si="0"/>
        <v>Falser Natalie</v>
      </c>
      <c r="N11" t="s">
        <v>693</v>
      </c>
      <c r="O11" t="s">
        <v>694</v>
      </c>
      <c r="P11">
        <v>2007</v>
      </c>
      <c r="Q11" t="s">
        <v>103</v>
      </c>
      <c r="R11" t="s">
        <v>695</v>
      </c>
    </row>
    <row r="12" spans="4:18" x14ac:dyDescent="0.25">
      <c r="E12" t="s">
        <v>732</v>
      </c>
      <c r="K12" t="str">
        <f t="shared" si="0"/>
        <v>Groff Alice</v>
      </c>
      <c r="N12" t="s">
        <v>392</v>
      </c>
      <c r="O12" t="s">
        <v>696</v>
      </c>
      <c r="P12">
        <v>2004</v>
      </c>
      <c r="Q12" t="s">
        <v>103</v>
      </c>
      <c r="R12" t="s">
        <v>5</v>
      </c>
    </row>
    <row r="13" spans="4:18" x14ac:dyDescent="0.25">
      <c r="E13" t="s">
        <v>733</v>
      </c>
      <c r="K13" t="str">
        <f t="shared" si="0"/>
        <v>Italiano Eleonora</v>
      </c>
      <c r="N13" t="s">
        <v>400</v>
      </c>
      <c r="O13" t="s">
        <v>697</v>
      </c>
      <c r="P13">
        <v>1992</v>
      </c>
      <c r="Q13" t="s">
        <v>103</v>
      </c>
      <c r="R13" t="s">
        <v>119</v>
      </c>
    </row>
    <row r="14" spans="4:18" x14ac:dyDescent="0.25">
      <c r="E14" t="s">
        <v>734</v>
      </c>
      <c r="K14" t="str">
        <f t="shared" si="0"/>
        <v>Maurer Julia</v>
      </c>
      <c r="N14" t="s">
        <v>698</v>
      </c>
      <c r="O14" t="s">
        <v>699</v>
      </c>
      <c r="P14">
        <v>2007</v>
      </c>
      <c r="Q14" t="s">
        <v>103</v>
      </c>
      <c r="R14" t="s">
        <v>6</v>
      </c>
    </row>
    <row r="15" spans="4:18" x14ac:dyDescent="0.25">
      <c r="E15" t="s">
        <v>735</v>
      </c>
      <c r="K15" t="str">
        <f t="shared" si="0"/>
        <v>Maurer Lea</v>
      </c>
      <c r="N15" t="s">
        <v>700</v>
      </c>
      <c r="O15" t="s">
        <v>699</v>
      </c>
      <c r="P15">
        <v>2009</v>
      </c>
      <c r="Q15" t="s">
        <v>103</v>
      </c>
      <c r="R15" t="s">
        <v>134</v>
      </c>
    </row>
    <row r="16" spans="4:18" x14ac:dyDescent="0.25">
      <c r="E16" t="s">
        <v>736</v>
      </c>
      <c r="K16" t="str">
        <f t="shared" si="0"/>
        <v>Mazzucchi Arianna</v>
      </c>
      <c r="N16" t="s">
        <v>202</v>
      </c>
      <c r="O16" t="s">
        <v>701</v>
      </c>
      <c r="P16">
        <v>2006</v>
      </c>
      <c r="Q16" t="s">
        <v>103</v>
      </c>
      <c r="R16" t="s">
        <v>702</v>
      </c>
    </row>
    <row r="17" spans="5:18" x14ac:dyDescent="0.25">
      <c r="E17" t="s">
        <v>737</v>
      </c>
      <c r="K17" t="str">
        <f t="shared" si="0"/>
        <v>Mundumbo Candida Queta</v>
      </c>
      <c r="N17" t="s">
        <v>703</v>
      </c>
      <c r="O17" t="s">
        <v>704</v>
      </c>
      <c r="P17">
        <v>1995</v>
      </c>
      <c r="Q17" t="s">
        <v>569</v>
      </c>
      <c r="R17" t="s">
        <v>138</v>
      </c>
    </row>
    <row r="18" spans="5:18" x14ac:dyDescent="0.25">
      <c r="E18" t="s">
        <v>738</v>
      </c>
      <c r="K18" t="str">
        <f t="shared" si="0"/>
        <v>Pasolli Sofia</v>
      </c>
      <c r="N18" t="s">
        <v>336</v>
      </c>
      <c r="O18" t="s">
        <v>705</v>
      </c>
      <c r="P18">
        <v>2010</v>
      </c>
      <c r="Q18" t="s">
        <v>103</v>
      </c>
      <c r="R18" t="s">
        <v>208</v>
      </c>
    </row>
    <row r="19" spans="5:18" x14ac:dyDescent="0.25">
      <c r="E19" t="s">
        <v>739</v>
      </c>
      <c r="K19" t="str">
        <f t="shared" si="0"/>
        <v>Pernter Magdalena</v>
      </c>
      <c r="N19" t="s">
        <v>706</v>
      </c>
      <c r="O19" t="s">
        <v>707</v>
      </c>
      <c r="P19">
        <v>2007</v>
      </c>
      <c r="Q19" t="s">
        <v>103</v>
      </c>
      <c r="R19" t="s">
        <v>109</v>
      </c>
    </row>
    <row r="20" spans="5:18" x14ac:dyDescent="0.25">
      <c r="E20" t="s">
        <v>740</v>
      </c>
      <c r="K20" t="str">
        <f t="shared" si="0"/>
        <v>Pilati Marika</v>
      </c>
      <c r="N20" t="s">
        <v>708</v>
      </c>
      <c r="O20" t="s">
        <v>709</v>
      </c>
      <c r="P20">
        <v>2003</v>
      </c>
      <c r="Q20" t="s">
        <v>103</v>
      </c>
      <c r="R20" t="s">
        <v>134</v>
      </c>
    </row>
    <row r="21" spans="5:18" x14ac:dyDescent="0.25">
      <c r="E21" t="s">
        <v>741</v>
      </c>
      <c r="K21" t="str">
        <f t="shared" si="0"/>
        <v>Rabanser Alina</v>
      </c>
      <c r="N21" t="s">
        <v>710</v>
      </c>
      <c r="O21" t="s">
        <v>711</v>
      </c>
      <c r="P21">
        <v>2007</v>
      </c>
      <c r="Q21" t="s">
        <v>103</v>
      </c>
      <c r="R21" t="s">
        <v>124</v>
      </c>
    </row>
    <row r="22" spans="5:18" x14ac:dyDescent="0.25">
      <c r="E22" t="s">
        <v>742</v>
      </c>
      <c r="K22" t="str">
        <f t="shared" si="0"/>
        <v>Raifer Hannah</v>
      </c>
      <c r="N22" t="s">
        <v>293</v>
      </c>
      <c r="O22" t="s">
        <v>712</v>
      </c>
      <c r="P22">
        <v>2006</v>
      </c>
      <c r="Q22" t="s">
        <v>103</v>
      </c>
      <c r="R22" t="s">
        <v>5</v>
      </c>
    </row>
    <row r="23" spans="5:18" x14ac:dyDescent="0.25">
      <c r="E23" t="s">
        <v>743</v>
      </c>
      <c r="K23" t="str">
        <f t="shared" si="0"/>
        <v>Rivera Ventura Esperanza Felicia</v>
      </c>
      <c r="N23" t="s">
        <v>713</v>
      </c>
      <c r="O23" t="s">
        <v>714</v>
      </c>
      <c r="P23">
        <v>2004</v>
      </c>
      <c r="Q23" t="s">
        <v>103</v>
      </c>
      <c r="R23" t="s">
        <v>109</v>
      </c>
    </row>
    <row r="24" spans="5:18" x14ac:dyDescent="0.25">
      <c r="E24" t="s">
        <v>744</v>
      </c>
      <c r="K24" t="str">
        <f t="shared" si="0"/>
        <v>Tasinato Beatrice</v>
      </c>
      <c r="N24" t="s">
        <v>715</v>
      </c>
      <c r="O24" t="s">
        <v>716</v>
      </c>
      <c r="P24">
        <v>2005</v>
      </c>
      <c r="Q24" t="s">
        <v>103</v>
      </c>
      <c r="R24" t="s">
        <v>6</v>
      </c>
    </row>
    <row r="25" spans="5:18" x14ac:dyDescent="0.25">
      <c r="E25" t="s">
        <v>745</v>
      </c>
      <c r="K25" t="str">
        <f t="shared" si="0"/>
        <v>Tito Imaculada Matos</v>
      </c>
      <c r="N25" t="s">
        <v>717</v>
      </c>
      <c r="O25" t="s">
        <v>718</v>
      </c>
      <c r="P25">
        <v>2003</v>
      </c>
      <c r="Q25" t="s">
        <v>569</v>
      </c>
      <c r="R25" t="s">
        <v>695</v>
      </c>
    </row>
    <row r="26" spans="5:18" x14ac:dyDescent="0.25">
      <c r="E26" t="s">
        <v>746</v>
      </c>
      <c r="K26" t="str">
        <f t="shared" si="0"/>
        <v>Tubi Margherita</v>
      </c>
      <c r="N26" t="s">
        <v>360</v>
      </c>
      <c r="O26" t="s">
        <v>719</v>
      </c>
      <c r="P26">
        <v>2005</v>
      </c>
      <c r="Q26" t="s">
        <v>103</v>
      </c>
      <c r="R26" t="s">
        <v>119</v>
      </c>
    </row>
    <row r="27" spans="5:18" x14ac:dyDescent="0.25">
      <c r="E27" t="s">
        <v>747</v>
      </c>
      <c r="K27" t="str">
        <f t="shared" si="0"/>
        <v>Valentinotti Ania</v>
      </c>
      <c r="N27" t="s">
        <v>720</v>
      </c>
      <c r="O27" t="s">
        <v>721</v>
      </c>
      <c r="P27">
        <v>2010</v>
      </c>
      <c r="Q27" t="s">
        <v>103</v>
      </c>
      <c r="R27" t="s">
        <v>124</v>
      </c>
    </row>
    <row r="28" spans="5:18" x14ac:dyDescent="0.25">
      <c r="E28" t="s">
        <v>748</v>
      </c>
      <c r="K28" t="str">
        <f t="shared" si="0"/>
        <v xml:space="preserve"> NOME E COGNOME</v>
      </c>
      <c r="N28" t="s">
        <v>163</v>
      </c>
      <c r="P28" t="s">
        <v>164</v>
      </c>
    </row>
    <row r="29" spans="5:18" x14ac:dyDescent="0.25">
      <c r="K29" t="str">
        <f t="shared" si="0"/>
        <v>Giovannini Sonia</v>
      </c>
      <c r="N29" t="s">
        <v>722</v>
      </c>
      <c r="O29" t="s">
        <v>347</v>
      </c>
      <c r="P29" t="s">
        <v>367</v>
      </c>
    </row>
    <row r="30" spans="5:18" ht="17.25" x14ac:dyDescent="0.25">
      <c r="E30" s="2"/>
      <c r="K30" t="str">
        <f t="shared" si="0"/>
        <v>Boev Nikolay Georgiev</v>
      </c>
      <c r="N30" t="s">
        <v>723</v>
      </c>
      <c r="O30" t="s">
        <v>724</v>
      </c>
      <c r="P30" t="s">
        <v>485</v>
      </c>
    </row>
    <row r="31" spans="5:18" ht="17.25" x14ac:dyDescent="0.25">
      <c r="E31" s="2"/>
      <c r="K31" t="str">
        <f t="shared" si="0"/>
        <v>Rizzoli Giorgia</v>
      </c>
      <c r="N31" t="s">
        <v>211</v>
      </c>
      <c r="O31" t="s">
        <v>725</v>
      </c>
      <c r="P31" t="s">
        <v>308</v>
      </c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D805-18BC-4844-9F2B-07B7E241C88C}">
  <dimension ref="D4:R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18" x14ac:dyDescent="0.25">
      <c r="E4" s="4" t="s">
        <v>752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Marrochi Ongay Maria Fernanda</v>
      </c>
      <c r="N5" t="s">
        <v>753</v>
      </c>
      <c r="O5" t="s">
        <v>754</v>
      </c>
      <c r="P5">
        <v>1988</v>
      </c>
      <c r="Q5" t="s">
        <v>103</v>
      </c>
      <c r="R5" t="s">
        <v>134</v>
      </c>
    </row>
    <row r="6" spans="4:18" x14ac:dyDescent="0.25">
      <c r="E6" t="s">
        <v>782</v>
      </c>
      <c r="G6" t="s">
        <v>22</v>
      </c>
      <c r="K6" t="str">
        <f t="shared" ref="K6:K22" si="0">O6&amp;" "&amp;N6</f>
        <v>Ferrara Chiara</v>
      </c>
      <c r="N6" t="s">
        <v>141</v>
      </c>
      <c r="O6" t="s">
        <v>755</v>
      </c>
      <c r="P6">
        <v>2001</v>
      </c>
      <c r="Q6" t="s">
        <v>103</v>
      </c>
      <c r="R6" t="s">
        <v>109</v>
      </c>
    </row>
    <row r="7" spans="4:18" x14ac:dyDescent="0.25">
      <c r="E7" t="s">
        <v>783</v>
      </c>
      <c r="G7" t="s">
        <v>1</v>
      </c>
      <c r="H7" t="s">
        <v>798</v>
      </c>
      <c r="K7" t="str">
        <f t="shared" si="0"/>
        <v>Janni Aurora</v>
      </c>
      <c r="N7" t="s">
        <v>466</v>
      </c>
      <c r="O7" t="s">
        <v>756</v>
      </c>
      <c r="P7">
        <v>2005</v>
      </c>
      <c r="Q7" t="s">
        <v>103</v>
      </c>
      <c r="R7" t="s">
        <v>291</v>
      </c>
    </row>
    <row r="8" spans="4:18" x14ac:dyDescent="0.25">
      <c r="E8" t="s">
        <v>784</v>
      </c>
      <c r="G8" t="s">
        <v>2</v>
      </c>
      <c r="K8" t="str">
        <f t="shared" si="0"/>
        <v>Soglietti Katia</v>
      </c>
      <c r="N8" t="s">
        <v>757</v>
      </c>
      <c r="O8" t="s">
        <v>758</v>
      </c>
      <c r="P8">
        <v>1977</v>
      </c>
      <c r="Q8" t="s">
        <v>103</v>
      </c>
      <c r="R8" t="s">
        <v>119</v>
      </c>
    </row>
    <row r="9" spans="4:18" x14ac:dyDescent="0.25">
      <c r="E9" t="s">
        <v>785</v>
      </c>
      <c r="G9" t="s">
        <v>23</v>
      </c>
      <c r="K9" t="str">
        <f t="shared" si="0"/>
        <v>Vitale Gabriela</v>
      </c>
      <c r="N9" t="s">
        <v>139</v>
      </c>
      <c r="O9" t="s">
        <v>759</v>
      </c>
      <c r="P9">
        <v>2001</v>
      </c>
      <c r="Q9" t="s">
        <v>103</v>
      </c>
      <c r="R9" t="s">
        <v>6</v>
      </c>
    </row>
    <row r="10" spans="4:18" x14ac:dyDescent="0.25">
      <c r="E10" t="s">
        <v>786</v>
      </c>
      <c r="G10" t="s">
        <v>3</v>
      </c>
      <c r="K10" t="str">
        <f t="shared" si="0"/>
        <v>Badiali Chiara</v>
      </c>
      <c r="N10" t="s">
        <v>141</v>
      </c>
      <c r="O10" t="s">
        <v>760</v>
      </c>
      <c r="P10">
        <v>2008</v>
      </c>
      <c r="Q10" t="s">
        <v>103</v>
      </c>
      <c r="R10" t="s">
        <v>761</v>
      </c>
    </row>
    <row r="11" spans="4:18" x14ac:dyDescent="0.25">
      <c r="E11" t="s">
        <v>787</v>
      </c>
      <c r="K11" t="str">
        <f t="shared" si="0"/>
        <v>Degli Uberti Lucia</v>
      </c>
      <c r="N11" t="s">
        <v>110</v>
      </c>
      <c r="O11" t="s">
        <v>762</v>
      </c>
      <c r="P11">
        <v>2008</v>
      </c>
      <c r="Q11" t="s">
        <v>103</v>
      </c>
      <c r="R11" t="s">
        <v>763</v>
      </c>
    </row>
    <row r="12" spans="4:18" x14ac:dyDescent="0.25">
      <c r="E12" t="s">
        <v>788</v>
      </c>
      <c r="K12" t="str">
        <f t="shared" si="0"/>
        <v>Gambato Anita</v>
      </c>
      <c r="N12" t="s">
        <v>234</v>
      </c>
      <c r="O12" t="s">
        <v>764</v>
      </c>
      <c r="P12">
        <v>2007</v>
      </c>
      <c r="Q12" t="s">
        <v>103</v>
      </c>
      <c r="R12" t="s">
        <v>6</v>
      </c>
    </row>
    <row r="13" spans="4:18" x14ac:dyDescent="0.25">
      <c r="E13" t="s">
        <v>789</v>
      </c>
      <c r="K13" t="str">
        <f t="shared" si="0"/>
        <v>Guarelli Irene</v>
      </c>
      <c r="N13" t="s">
        <v>120</v>
      </c>
      <c r="O13" t="s">
        <v>765</v>
      </c>
      <c r="P13">
        <v>2008</v>
      </c>
      <c r="Q13" t="s">
        <v>103</v>
      </c>
      <c r="R13" t="s">
        <v>5</v>
      </c>
    </row>
    <row r="14" spans="4:18" x14ac:dyDescent="0.25">
      <c r="E14" t="s">
        <v>790</v>
      </c>
      <c r="K14" t="str">
        <f t="shared" si="0"/>
        <v>Magri Anna</v>
      </c>
      <c r="N14" t="s">
        <v>217</v>
      </c>
      <c r="O14" t="s">
        <v>766</v>
      </c>
      <c r="P14">
        <v>2008</v>
      </c>
      <c r="Q14" t="s">
        <v>103</v>
      </c>
      <c r="R14" t="s">
        <v>138</v>
      </c>
    </row>
    <row r="15" spans="4:18" x14ac:dyDescent="0.25">
      <c r="E15" t="s">
        <v>791</v>
      </c>
      <c r="K15" t="str">
        <f t="shared" si="0"/>
        <v>Malaguti Emma</v>
      </c>
      <c r="N15" t="s">
        <v>334</v>
      </c>
      <c r="O15" t="s">
        <v>767</v>
      </c>
      <c r="P15">
        <v>2007</v>
      </c>
      <c r="Q15" t="s">
        <v>103</v>
      </c>
      <c r="R15" t="s">
        <v>134</v>
      </c>
    </row>
    <row r="16" spans="4:18" x14ac:dyDescent="0.25">
      <c r="E16" t="s">
        <v>792</v>
      </c>
      <c r="K16" t="str">
        <f t="shared" si="0"/>
        <v>Sallami Amani</v>
      </c>
      <c r="N16" t="s">
        <v>768</v>
      </c>
      <c r="O16" t="s">
        <v>769</v>
      </c>
      <c r="P16">
        <v>2003</v>
      </c>
      <c r="Q16" t="s">
        <v>770</v>
      </c>
      <c r="R16" t="s">
        <v>124</v>
      </c>
    </row>
    <row r="17" spans="5:18" x14ac:dyDescent="0.25">
      <c r="E17" t="s">
        <v>793</v>
      </c>
      <c r="K17" t="str">
        <f t="shared" si="0"/>
        <v>Yugueros Tarazona Aitana</v>
      </c>
      <c r="N17" t="s">
        <v>771</v>
      </c>
      <c r="O17" t="s">
        <v>772</v>
      </c>
      <c r="P17">
        <v>2002</v>
      </c>
      <c r="Q17" t="s">
        <v>106</v>
      </c>
      <c r="R17" t="s">
        <v>5</v>
      </c>
    </row>
    <row r="18" spans="5:18" x14ac:dyDescent="0.25">
      <c r="E18" t="s">
        <v>794</v>
      </c>
      <c r="K18" t="str">
        <f t="shared" si="0"/>
        <v>Ocampos Morel Fatima Veronica</v>
      </c>
      <c r="N18" t="s">
        <v>773</v>
      </c>
      <c r="O18" t="s">
        <v>774</v>
      </c>
      <c r="P18">
        <v>2003</v>
      </c>
      <c r="Q18" t="s">
        <v>775</v>
      </c>
      <c r="R18" t="s">
        <v>6</v>
      </c>
    </row>
    <row r="19" spans="5:18" x14ac:dyDescent="0.25">
      <c r="E19" t="s">
        <v>795</v>
      </c>
      <c r="K19" t="str">
        <f t="shared" si="0"/>
        <v>Visentin Kerper Maria Paula</v>
      </c>
      <c r="N19" t="s">
        <v>776</v>
      </c>
      <c r="O19" t="s">
        <v>777</v>
      </c>
      <c r="P19">
        <v>1993</v>
      </c>
      <c r="Q19" t="s">
        <v>103</v>
      </c>
      <c r="R19" t="s">
        <v>124</v>
      </c>
    </row>
    <row r="20" spans="5:18" x14ac:dyDescent="0.25">
      <c r="E20" t="s">
        <v>796</v>
      </c>
      <c r="K20" t="str">
        <f t="shared" si="0"/>
        <v>Manfedini Angelica</v>
      </c>
      <c r="N20" t="s">
        <v>778</v>
      </c>
      <c r="O20" t="s">
        <v>779</v>
      </c>
      <c r="P20">
        <v>2003</v>
      </c>
      <c r="Q20" t="s">
        <v>103</v>
      </c>
      <c r="R20" t="s">
        <v>134</v>
      </c>
    </row>
    <row r="21" spans="5:18" x14ac:dyDescent="0.25">
      <c r="E21" t="s">
        <v>797</v>
      </c>
      <c r="K21" t="str">
        <f t="shared" si="0"/>
        <v xml:space="preserve"> NOME E COGNOME</v>
      </c>
      <c r="N21" t="s">
        <v>163</v>
      </c>
      <c r="P21" t="s">
        <v>164</v>
      </c>
    </row>
    <row r="22" spans="5:18" x14ac:dyDescent="0.25">
      <c r="K22" t="str">
        <f t="shared" si="0"/>
        <v>Melis Mattia</v>
      </c>
      <c r="N22" t="s">
        <v>780</v>
      </c>
      <c r="O22" t="s">
        <v>781</v>
      </c>
      <c r="P22" t="s">
        <v>167</v>
      </c>
    </row>
    <row r="30" spans="5:18" ht="17.25" x14ac:dyDescent="0.25">
      <c r="E30" s="2"/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8B09-F9FD-45B7-A467-21DB13399EEE}">
  <dimension ref="D4:R37"/>
  <sheetViews>
    <sheetView workbookViewId="0">
      <selection activeCell="C2" sqref="C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  <col min="12" max="12" width="29.85546875" bestFit="1" customWidth="1"/>
  </cols>
  <sheetData>
    <row r="4" spans="4:18" x14ac:dyDescent="0.25">
      <c r="E4" s="4" t="s">
        <v>799</v>
      </c>
    </row>
    <row r="5" spans="4:18" x14ac:dyDescent="0.25">
      <c r="D5" t="s">
        <v>4</v>
      </c>
      <c r="E5" t="s">
        <v>0</v>
      </c>
      <c r="G5" t="s">
        <v>4</v>
      </c>
      <c r="H5" t="s">
        <v>0</v>
      </c>
      <c r="K5" t="str">
        <f>O5&amp;" "&amp;N5</f>
        <v>Galletti Elisabeth</v>
      </c>
      <c r="N5" t="s">
        <v>800</v>
      </c>
      <c r="O5" t="s">
        <v>345</v>
      </c>
      <c r="P5">
        <v>2000</v>
      </c>
      <c r="Q5" t="s">
        <v>103</v>
      </c>
      <c r="R5" t="s">
        <v>6</v>
      </c>
    </row>
    <row r="6" spans="4:18" x14ac:dyDescent="0.25">
      <c r="E6" t="s">
        <v>826</v>
      </c>
      <c r="G6" t="s">
        <v>22</v>
      </c>
      <c r="K6" t="str">
        <f t="shared" ref="K6:K21" si="0">O6&amp;" "&amp;N6</f>
        <v>Ratsika Niki</v>
      </c>
      <c r="N6" t="s">
        <v>801</v>
      </c>
      <c r="O6" t="s">
        <v>802</v>
      </c>
      <c r="P6">
        <v>1997</v>
      </c>
      <c r="Q6" t="s">
        <v>803</v>
      </c>
      <c r="R6" t="s">
        <v>6</v>
      </c>
    </row>
    <row r="7" spans="4:18" x14ac:dyDescent="0.25">
      <c r="E7" t="s">
        <v>827</v>
      </c>
      <c r="G7" t="s">
        <v>1</v>
      </c>
      <c r="H7" t="s">
        <v>841</v>
      </c>
      <c r="K7" t="str">
        <f t="shared" si="0"/>
        <v>Panayotova Marilena</v>
      </c>
      <c r="N7" t="s">
        <v>804</v>
      </c>
      <c r="O7" t="s">
        <v>805</v>
      </c>
      <c r="P7">
        <v>2001</v>
      </c>
      <c r="Q7" t="s">
        <v>806</v>
      </c>
      <c r="R7" t="s">
        <v>138</v>
      </c>
    </row>
    <row r="8" spans="4:18" x14ac:dyDescent="0.25">
      <c r="E8" t="s">
        <v>828</v>
      </c>
      <c r="G8" t="s">
        <v>2</v>
      </c>
      <c r="K8" t="str">
        <f t="shared" si="0"/>
        <v>Di Pietro Micaela</v>
      </c>
      <c r="N8" t="s">
        <v>807</v>
      </c>
      <c r="O8" t="s">
        <v>808</v>
      </c>
      <c r="P8">
        <v>2009</v>
      </c>
      <c r="Q8" t="s">
        <v>103</v>
      </c>
      <c r="R8" t="s">
        <v>124</v>
      </c>
    </row>
    <row r="9" spans="4:18" x14ac:dyDescent="0.25">
      <c r="E9" t="s">
        <v>829</v>
      </c>
      <c r="G9" t="s">
        <v>23</v>
      </c>
      <c r="K9" t="str">
        <f t="shared" si="0"/>
        <v>Engel Eduarda Mariele</v>
      </c>
      <c r="N9" t="s">
        <v>809</v>
      </c>
      <c r="O9" t="s">
        <v>810</v>
      </c>
      <c r="P9">
        <v>2001</v>
      </c>
      <c r="Q9" t="s">
        <v>118</v>
      </c>
      <c r="R9" t="s">
        <v>138</v>
      </c>
    </row>
    <row r="10" spans="4:18" x14ac:dyDescent="0.25">
      <c r="E10" t="s">
        <v>830</v>
      </c>
      <c r="G10" t="s">
        <v>3</v>
      </c>
      <c r="K10" t="str">
        <f t="shared" si="0"/>
        <v>Sila Fatou</v>
      </c>
      <c r="N10" t="s">
        <v>811</v>
      </c>
      <c r="O10" t="s">
        <v>812</v>
      </c>
      <c r="P10">
        <v>2006</v>
      </c>
      <c r="Q10" t="s">
        <v>103</v>
      </c>
      <c r="R10" t="s">
        <v>134</v>
      </c>
    </row>
    <row r="11" spans="4:18" x14ac:dyDescent="0.25">
      <c r="E11" t="s">
        <v>831</v>
      </c>
      <c r="K11" t="str">
        <f t="shared" si="0"/>
        <v>Giamberardino Lucia Fiorella</v>
      </c>
      <c r="N11" t="s">
        <v>813</v>
      </c>
      <c r="O11" t="s">
        <v>814</v>
      </c>
      <c r="P11">
        <v>1990</v>
      </c>
      <c r="Q11" t="s">
        <v>103</v>
      </c>
      <c r="R11" t="s">
        <v>134</v>
      </c>
    </row>
    <row r="12" spans="4:18" x14ac:dyDescent="0.25">
      <c r="E12" t="s">
        <v>832</v>
      </c>
      <c r="K12" t="str">
        <f t="shared" si="0"/>
        <v>Canzio Chiara</v>
      </c>
      <c r="N12" t="s">
        <v>141</v>
      </c>
      <c r="O12" t="s">
        <v>815</v>
      </c>
      <c r="P12">
        <v>2001</v>
      </c>
      <c r="Q12" t="s">
        <v>103</v>
      </c>
      <c r="R12" t="s">
        <v>119</v>
      </c>
    </row>
    <row r="13" spans="4:18" x14ac:dyDescent="0.25">
      <c r="E13" t="s">
        <v>833</v>
      </c>
      <c r="K13" t="str">
        <f t="shared" si="0"/>
        <v>De Flaviis Giulia</v>
      </c>
      <c r="N13" t="s">
        <v>193</v>
      </c>
      <c r="O13" t="s">
        <v>816</v>
      </c>
      <c r="P13">
        <v>2007</v>
      </c>
      <c r="Q13" t="s">
        <v>103</v>
      </c>
      <c r="R13" t="s">
        <v>109</v>
      </c>
    </row>
    <row r="14" spans="4:18" x14ac:dyDescent="0.25">
      <c r="E14" t="s">
        <v>834</v>
      </c>
      <c r="K14" t="str">
        <f t="shared" si="0"/>
        <v>Farisé Rebecca</v>
      </c>
      <c r="N14" t="s">
        <v>817</v>
      </c>
      <c r="O14" t="s">
        <v>818</v>
      </c>
      <c r="P14">
        <v>2004</v>
      </c>
      <c r="Q14" t="s">
        <v>103</v>
      </c>
      <c r="R14" t="s">
        <v>109</v>
      </c>
    </row>
    <row r="15" spans="4:18" x14ac:dyDescent="0.25">
      <c r="E15" t="s">
        <v>835</v>
      </c>
      <c r="K15" t="str">
        <f t="shared" si="0"/>
        <v>Pugliara Beatrice</v>
      </c>
      <c r="N15" t="s">
        <v>715</v>
      </c>
      <c r="O15" t="s">
        <v>819</v>
      </c>
      <c r="P15">
        <v>2000</v>
      </c>
      <c r="Q15" t="s">
        <v>103</v>
      </c>
      <c r="R15" t="s">
        <v>119</v>
      </c>
    </row>
    <row r="16" spans="4:18" x14ac:dyDescent="0.25">
      <c r="E16" t="s">
        <v>836</v>
      </c>
      <c r="K16" t="str">
        <f t="shared" si="0"/>
        <v>De Angelis Arianna</v>
      </c>
      <c r="N16" t="s">
        <v>202</v>
      </c>
      <c r="O16" t="s">
        <v>820</v>
      </c>
      <c r="P16">
        <v>2005</v>
      </c>
      <c r="Q16" t="s">
        <v>103</v>
      </c>
      <c r="R16" t="s">
        <v>5</v>
      </c>
    </row>
    <row r="17" spans="5:18" x14ac:dyDescent="0.25">
      <c r="E17" t="s">
        <v>837</v>
      </c>
      <c r="K17" t="str">
        <f t="shared" si="0"/>
        <v>Conte Giulia</v>
      </c>
      <c r="N17" t="s">
        <v>193</v>
      </c>
      <c r="O17" t="s">
        <v>821</v>
      </c>
      <c r="P17">
        <v>2003</v>
      </c>
      <c r="Q17" t="s">
        <v>103</v>
      </c>
      <c r="R17" t="s">
        <v>5</v>
      </c>
    </row>
    <row r="18" spans="5:18" x14ac:dyDescent="0.25">
      <c r="E18" t="s">
        <v>838</v>
      </c>
      <c r="K18" t="str">
        <f t="shared" si="0"/>
        <v>Notarianni Michela</v>
      </c>
      <c r="N18" t="s">
        <v>398</v>
      </c>
      <c r="O18" t="s">
        <v>822</v>
      </c>
      <c r="P18">
        <v>2002</v>
      </c>
      <c r="Q18" t="s">
        <v>103</v>
      </c>
      <c r="R18" t="s">
        <v>5</v>
      </c>
    </row>
    <row r="19" spans="5:18" x14ac:dyDescent="0.25">
      <c r="E19" t="s">
        <v>839</v>
      </c>
      <c r="K19" t="str">
        <f t="shared" si="0"/>
        <v>Capone Rebecca</v>
      </c>
      <c r="N19" t="s">
        <v>817</v>
      </c>
      <c r="O19" t="s">
        <v>823</v>
      </c>
      <c r="P19">
        <v>2003</v>
      </c>
      <c r="Q19" t="s">
        <v>103</v>
      </c>
      <c r="R19" t="s">
        <v>5</v>
      </c>
    </row>
    <row r="20" spans="5:18" x14ac:dyDescent="0.25">
      <c r="E20" t="s">
        <v>840</v>
      </c>
      <c r="K20" t="str">
        <f t="shared" si="0"/>
        <v xml:space="preserve"> NOME E COGNOME</v>
      </c>
      <c r="N20" t="s">
        <v>163</v>
      </c>
      <c r="P20" t="s">
        <v>164</v>
      </c>
    </row>
    <row r="21" spans="5:18" x14ac:dyDescent="0.25">
      <c r="K21" t="str">
        <f t="shared" si="0"/>
        <v>Palarie Maria Daniela</v>
      </c>
      <c r="N21" t="s">
        <v>824</v>
      </c>
      <c r="O21" t="s">
        <v>825</v>
      </c>
      <c r="P21" t="s">
        <v>367</v>
      </c>
    </row>
    <row r="30" spans="5:18" ht="17.25" x14ac:dyDescent="0.25">
      <c r="E30" s="2"/>
    </row>
    <row r="31" spans="5:18" ht="17.25" x14ac:dyDescent="0.25">
      <c r="E31" s="2"/>
    </row>
    <row r="32" spans="5:18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6512-7CC1-41AC-B34E-E0FE6DFACFC1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 t="s">
        <v>93</v>
      </c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81B1-DAE1-4081-AE8F-B8688B8412EB}">
  <dimension ref="D4:H37"/>
  <sheetViews>
    <sheetView workbookViewId="0"/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 t="s">
        <v>100</v>
      </c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9BE0-C441-43F3-9F0A-D76F54E6FBAA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/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9D50-19D4-4C82-AC5F-BF19BDC9F847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/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46BB-9415-48F9-8043-A92731CC8322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/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52E0-83A9-4ECC-9D62-ADCD8E897C77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/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734E-C281-4E42-8C35-4B38526BFDE4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/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23D3-43CC-492C-8AE5-BF7AEA40F6D1}">
  <dimension ref="D4:H37"/>
  <sheetViews>
    <sheetView workbookViewId="0">
      <selection activeCell="B2" sqref="B2"/>
    </sheetView>
  </sheetViews>
  <sheetFormatPr defaultRowHeight="15" x14ac:dyDescent="0.25"/>
  <cols>
    <col min="4" max="4" width="4.7109375" customWidth="1"/>
    <col min="5" max="5" width="39.7109375" customWidth="1"/>
    <col min="6" max="6" width="6.85546875" customWidth="1"/>
    <col min="7" max="7" width="4.7109375" customWidth="1"/>
    <col min="8" max="8" width="39.7109375" customWidth="1"/>
    <col min="9" max="9" width="14.42578125" customWidth="1"/>
  </cols>
  <sheetData>
    <row r="4" spans="4:8" x14ac:dyDescent="0.25">
      <c r="E4" s="4"/>
    </row>
    <row r="5" spans="4:8" x14ac:dyDescent="0.25">
      <c r="D5" t="s">
        <v>4</v>
      </c>
      <c r="E5" t="s">
        <v>0</v>
      </c>
      <c r="G5" t="s">
        <v>4</v>
      </c>
      <c r="H5" t="s">
        <v>0</v>
      </c>
    </row>
    <row r="6" spans="4:8" x14ac:dyDescent="0.25">
      <c r="G6" t="s">
        <v>22</v>
      </c>
    </row>
    <row r="7" spans="4:8" x14ac:dyDescent="0.25">
      <c r="G7" t="s">
        <v>1</v>
      </c>
    </row>
    <row r="8" spans="4:8" x14ac:dyDescent="0.25">
      <c r="G8" t="s">
        <v>2</v>
      </c>
    </row>
    <row r="9" spans="4:8" x14ac:dyDescent="0.25">
      <c r="G9" t="s">
        <v>23</v>
      </c>
    </row>
    <row r="10" spans="4:8" x14ac:dyDescent="0.25">
      <c r="G10" t="s">
        <v>3</v>
      </c>
    </row>
    <row r="30" spans="5:5" ht="17.25" x14ac:dyDescent="0.25">
      <c r="E30" s="2"/>
    </row>
    <row r="31" spans="5:5" ht="17.25" x14ac:dyDescent="0.25">
      <c r="E31" s="2"/>
    </row>
    <row r="32" spans="5:5" ht="17.25" x14ac:dyDescent="0.25">
      <c r="E32" s="2"/>
    </row>
    <row r="33" spans="5:5" ht="17.25" x14ac:dyDescent="0.25">
      <c r="E33" s="2"/>
    </row>
    <row r="34" spans="5:5" ht="17.25" x14ac:dyDescent="0.25">
      <c r="E34" s="2"/>
    </row>
    <row r="35" spans="5:5" ht="17.25" x14ac:dyDescent="0.25">
      <c r="E35" s="2"/>
    </row>
    <row r="36" spans="5:5" ht="17.25" x14ac:dyDescent="0.25">
      <c r="E36" s="2"/>
    </row>
    <row r="37" spans="5:5" ht="17.25" x14ac:dyDescent="0.25">
      <c r="E37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22</vt:i4>
      </vt:variant>
    </vt:vector>
  </HeadingPairs>
  <TitlesOfParts>
    <vt:vector size="22" baseType="lpstr">
      <vt:lpstr>Gara</vt:lpstr>
      <vt:lpstr>Squadre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Trupiano</cp:lastModifiedBy>
  <dcterms:created xsi:type="dcterms:W3CDTF">2026-08-11T06:16:31Z</dcterms:created>
  <dcterms:modified xsi:type="dcterms:W3CDTF">2026-08-16T08:54:18Z</dcterms:modified>
</cp:coreProperties>
</file>